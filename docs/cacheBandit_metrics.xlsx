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theme/themeOverride1.xml" ContentType="application/vnd.openxmlformats-officedocument.themeOverride+xml"/>
  <Override PartName="/xl/charts/chart12.xml" ContentType="application/vnd.openxmlformats-officedocument.drawingml.chart+xml"/>
  <Override PartName="/xl/theme/themeOverride2.xml" ContentType="application/vnd.openxmlformats-officedocument.themeOverride+xml"/>
  <Override PartName="/xl/charts/chart13.xml" ContentType="application/vnd.openxmlformats-officedocument.drawingml.chart+xml"/>
  <Override PartName="/xl/theme/themeOverride3.xml" ContentType="application/vnd.openxmlformats-officedocument.themeOverride+xml"/>
  <Override PartName="/xl/charts/chart14.xml" ContentType="application/vnd.openxmlformats-officedocument.drawingml.chart+xml"/>
  <Override PartName="/xl/theme/themeOverride4.xml" ContentType="application/vnd.openxmlformats-officedocument.themeOverride+xml"/>
  <Override PartName="/xl/charts/chart15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91988\Documents\Amruth\Files\Projects\CacheBandit\docs\"/>
    </mc:Choice>
  </mc:AlternateContent>
  <xr:revisionPtr revIDLastSave="0" documentId="13_ncr:1_{D22BCCB6-3154-475C-A13D-F0940D45C781}" xr6:coauthVersionLast="47" xr6:coauthVersionMax="47" xr10:uidLastSave="{00000000-0000-0000-0000-000000000000}"/>
  <bookViews>
    <workbookView xWindow="-108" yWindow="-108" windowWidth="23256" windowHeight="12456" activeTab="1" xr2:uid="{C4CDEA3B-1686-49FD-8414-9D1FD93CDC23}"/>
  </bookViews>
  <sheets>
    <sheet name="Sheet5" sheetId="5" r:id="rId1"/>
    <sheet name="Sheet1" sheetId="6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307" i="6" l="1"/>
  <c r="H307" i="6" s="1"/>
  <c r="I307" i="6" s="1"/>
  <c r="J307" i="6" s="1"/>
  <c r="K307" i="6" s="1"/>
  <c r="L307" i="6" s="1"/>
  <c r="M307" i="6" s="1"/>
  <c r="N307" i="6" s="1"/>
  <c r="O307" i="6" s="1"/>
  <c r="P307" i="6" s="1"/>
  <c r="Q307" i="6" s="1"/>
  <c r="R307" i="6" s="1"/>
  <c r="S307" i="6" s="1"/>
  <c r="T307" i="6" s="1"/>
  <c r="U307" i="6" s="1"/>
  <c r="V307" i="6" s="1"/>
  <c r="W307" i="6" s="1"/>
  <c r="X307" i="6" s="1"/>
  <c r="Y307" i="6" s="1"/>
  <c r="Z307" i="6" s="1"/>
  <c r="AA307" i="6" s="1"/>
  <c r="G305" i="6"/>
  <c r="H305" i="6" s="1"/>
  <c r="I305" i="6" s="1"/>
  <c r="J305" i="6" s="1"/>
  <c r="K305" i="6" s="1"/>
  <c r="L305" i="6" s="1"/>
  <c r="M305" i="6" s="1"/>
  <c r="N305" i="6" s="1"/>
  <c r="O305" i="6" s="1"/>
  <c r="P305" i="6" s="1"/>
  <c r="Q305" i="6" s="1"/>
  <c r="R305" i="6" s="1"/>
  <c r="S305" i="6" s="1"/>
  <c r="T305" i="6" s="1"/>
  <c r="U305" i="6" s="1"/>
  <c r="V305" i="6" s="1"/>
  <c r="W305" i="6" s="1"/>
  <c r="X305" i="6" s="1"/>
  <c r="Y305" i="6" s="1"/>
  <c r="Z305" i="6" s="1"/>
  <c r="AA305" i="6" s="1"/>
  <c r="G303" i="6"/>
  <c r="H303" i="6" s="1"/>
  <c r="I303" i="6" s="1"/>
  <c r="J303" i="6" s="1"/>
  <c r="K303" i="6" s="1"/>
  <c r="L303" i="6" s="1"/>
  <c r="M303" i="6" s="1"/>
  <c r="N303" i="6" s="1"/>
  <c r="O303" i="6" s="1"/>
  <c r="P303" i="6" s="1"/>
  <c r="Q303" i="6" s="1"/>
  <c r="R303" i="6" s="1"/>
  <c r="S303" i="6" s="1"/>
  <c r="T303" i="6" s="1"/>
  <c r="U303" i="6" s="1"/>
  <c r="V303" i="6" s="1"/>
  <c r="W303" i="6" s="1"/>
  <c r="X303" i="6" s="1"/>
  <c r="Y303" i="6" s="1"/>
  <c r="Z303" i="6" s="1"/>
  <c r="AA303" i="6" s="1"/>
  <c r="G293" i="6"/>
  <c r="H293" i="6" s="1"/>
  <c r="I293" i="6" s="1"/>
  <c r="J293" i="6" s="1"/>
  <c r="K293" i="6" s="1"/>
  <c r="L293" i="6" s="1"/>
  <c r="M293" i="6" s="1"/>
  <c r="N293" i="6" s="1"/>
  <c r="O293" i="6" s="1"/>
  <c r="P293" i="6" s="1"/>
  <c r="Q293" i="6" s="1"/>
  <c r="R293" i="6" s="1"/>
  <c r="S293" i="6" s="1"/>
  <c r="T293" i="6" s="1"/>
  <c r="U293" i="6" s="1"/>
  <c r="V293" i="6" s="1"/>
  <c r="W293" i="6" s="1"/>
  <c r="X293" i="6" s="1"/>
  <c r="Y293" i="6" s="1"/>
  <c r="Z293" i="6" s="1"/>
  <c r="AA293" i="6" s="1"/>
  <c r="G291" i="6"/>
  <c r="H291" i="6" s="1"/>
  <c r="I291" i="6" s="1"/>
  <c r="J291" i="6" s="1"/>
  <c r="K291" i="6" s="1"/>
  <c r="L291" i="6" s="1"/>
  <c r="M291" i="6" s="1"/>
  <c r="N291" i="6" s="1"/>
  <c r="O291" i="6" s="1"/>
  <c r="P291" i="6" s="1"/>
  <c r="Q291" i="6" s="1"/>
  <c r="R291" i="6" s="1"/>
  <c r="S291" i="6" s="1"/>
  <c r="T291" i="6" s="1"/>
  <c r="U291" i="6" s="1"/>
  <c r="V291" i="6" s="1"/>
  <c r="W291" i="6" s="1"/>
  <c r="X291" i="6" s="1"/>
  <c r="Y291" i="6" s="1"/>
  <c r="Z291" i="6" s="1"/>
  <c r="AA291" i="6" s="1"/>
  <c r="G289" i="6"/>
  <c r="H289" i="6" s="1"/>
  <c r="I289" i="6" s="1"/>
  <c r="J289" i="6" s="1"/>
  <c r="K289" i="6" s="1"/>
  <c r="L289" i="6" s="1"/>
  <c r="M289" i="6" s="1"/>
  <c r="N289" i="6" s="1"/>
  <c r="O289" i="6" s="1"/>
  <c r="P289" i="6" s="1"/>
  <c r="Q289" i="6" s="1"/>
  <c r="R289" i="6" s="1"/>
  <c r="S289" i="6" s="1"/>
  <c r="T289" i="6" s="1"/>
  <c r="U289" i="6" s="1"/>
  <c r="V289" i="6" s="1"/>
  <c r="W289" i="6" s="1"/>
  <c r="X289" i="6" s="1"/>
  <c r="Y289" i="6" s="1"/>
  <c r="Z289" i="6" s="1"/>
  <c r="AA289" i="6" s="1"/>
  <c r="G287" i="6"/>
  <c r="H287" i="6" s="1"/>
  <c r="I287" i="6" s="1"/>
  <c r="J287" i="6" s="1"/>
  <c r="K287" i="6" s="1"/>
  <c r="L287" i="6" s="1"/>
  <c r="M287" i="6" s="1"/>
  <c r="N287" i="6" s="1"/>
  <c r="O287" i="6" s="1"/>
  <c r="P287" i="6" s="1"/>
  <c r="Q287" i="6" s="1"/>
  <c r="R287" i="6" s="1"/>
  <c r="S287" i="6" s="1"/>
  <c r="T287" i="6" s="1"/>
  <c r="U287" i="6" s="1"/>
  <c r="V287" i="6" s="1"/>
  <c r="W287" i="6" s="1"/>
  <c r="X287" i="6" s="1"/>
  <c r="Y287" i="6" s="1"/>
  <c r="Z287" i="6" s="1"/>
  <c r="AA287" i="6" s="1"/>
  <c r="G279" i="6"/>
  <c r="H279" i="6" s="1"/>
  <c r="I279" i="6" s="1"/>
  <c r="J279" i="6" s="1"/>
  <c r="K279" i="6" s="1"/>
  <c r="L279" i="6" s="1"/>
  <c r="M279" i="6" s="1"/>
  <c r="N279" i="6" s="1"/>
  <c r="O279" i="6" s="1"/>
  <c r="P279" i="6" s="1"/>
  <c r="Q279" i="6" s="1"/>
  <c r="R279" i="6" s="1"/>
  <c r="S279" i="6" s="1"/>
  <c r="T279" i="6" s="1"/>
  <c r="U279" i="6" s="1"/>
  <c r="V279" i="6" s="1"/>
  <c r="W279" i="6" s="1"/>
  <c r="X279" i="6" s="1"/>
  <c r="Y279" i="6" s="1"/>
  <c r="Z279" i="6" s="1"/>
  <c r="AA279" i="6" s="1"/>
  <c r="G277" i="6"/>
  <c r="H277" i="6" s="1"/>
  <c r="I277" i="6" s="1"/>
  <c r="J277" i="6" s="1"/>
  <c r="K277" i="6" s="1"/>
  <c r="L277" i="6" s="1"/>
  <c r="M277" i="6" s="1"/>
  <c r="N277" i="6" s="1"/>
  <c r="O277" i="6" s="1"/>
  <c r="P277" i="6" s="1"/>
  <c r="Q277" i="6" s="1"/>
  <c r="R277" i="6" s="1"/>
  <c r="S277" i="6" s="1"/>
  <c r="T277" i="6" s="1"/>
  <c r="U277" i="6" s="1"/>
  <c r="V277" i="6" s="1"/>
  <c r="W277" i="6" s="1"/>
  <c r="X277" i="6" s="1"/>
  <c r="Y277" i="6" s="1"/>
  <c r="Z277" i="6" s="1"/>
  <c r="AA277" i="6" s="1"/>
  <c r="G275" i="6"/>
  <c r="H275" i="6" s="1"/>
  <c r="I275" i="6" s="1"/>
  <c r="J275" i="6" s="1"/>
  <c r="K275" i="6" s="1"/>
  <c r="L275" i="6" s="1"/>
  <c r="M275" i="6" s="1"/>
  <c r="N275" i="6" s="1"/>
  <c r="O275" i="6" s="1"/>
  <c r="P275" i="6" s="1"/>
  <c r="Q275" i="6" s="1"/>
  <c r="R275" i="6" s="1"/>
  <c r="S275" i="6" s="1"/>
  <c r="T275" i="6" s="1"/>
  <c r="U275" i="6" s="1"/>
  <c r="V275" i="6" s="1"/>
  <c r="W275" i="6" s="1"/>
  <c r="X275" i="6" s="1"/>
  <c r="Y275" i="6" s="1"/>
  <c r="Z275" i="6" s="1"/>
  <c r="AA275" i="6" s="1"/>
  <c r="G273" i="6"/>
  <c r="H273" i="6" s="1"/>
  <c r="I273" i="6" s="1"/>
  <c r="J273" i="6" s="1"/>
  <c r="K273" i="6" s="1"/>
  <c r="L273" i="6" s="1"/>
  <c r="M273" i="6" s="1"/>
  <c r="N273" i="6" s="1"/>
  <c r="O273" i="6" s="1"/>
  <c r="P273" i="6" s="1"/>
  <c r="Q273" i="6" s="1"/>
  <c r="R273" i="6" s="1"/>
  <c r="S273" i="6" s="1"/>
  <c r="T273" i="6" s="1"/>
  <c r="U273" i="6" s="1"/>
  <c r="V273" i="6" s="1"/>
  <c r="W273" i="6" s="1"/>
  <c r="X273" i="6" s="1"/>
  <c r="Y273" i="6" s="1"/>
  <c r="Z273" i="6" s="1"/>
  <c r="AA273" i="6" s="1"/>
  <c r="G271" i="6"/>
  <c r="H271" i="6" s="1"/>
  <c r="I271" i="6" s="1"/>
  <c r="J271" i="6" s="1"/>
  <c r="K271" i="6" s="1"/>
  <c r="L271" i="6" s="1"/>
  <c r="M271" i="6" s="1"/>
  <c r="N271" i="6" s="1"/>
  <c r="O271" i="6" s="1"/>
  <c r="P271" i="6" s="1"/>
  <c r="Q271" i="6" s="1"/>
  <c r="R271" i="6" s="1"/>
  <c r="S271" i="6" s="1"/>
  <c r="T271" i="6" s="1"/>
  <c r="U271" i="6" s="1"/>
  <c r="V271" i="6" s="1"/>
  <c r="W271" i="6" s="1"/>
  <c r="X271" i="6" s="1"/>
  <c r="Y271" i="6" s="1"/>
  <c r="Z271" i="6" s="1"/>
  <c r="AA271" i="6" s="1"/>
  <c r="G265" i="6"/>
  <c r="H265" i="6" s="1"/>
  <c r="I265" i="6" s="1"/>
  <c r="J265" i="6" s="1"/>
  <c r="K265" i="6" s="1"/>
  <c r="L265" i="6" s="1"/>
  <c r="M265" i="6" s="1"/>
  <c r="N265" i="6" s="1"/>
  <c r="O265" i="6" s="1"/>
  <c r="P265" i="6" s="1"/>
  <c r="Q265" i="6" s="1"/>
  <c r="R265" i="6" s="1"/>
  <c r="S265" i="6" s="1"/>
  <c r="T265" i="6" s="1"/>
  <c r="U265" i="6" s="1"/>
  <c r="V265" i="6" s="1"/>
  <c r="W265" i="6" s="1"/>
  <c r="X265" i="6" s="1"/>
  <c r="Y265" i="6" s="1"/>
  <c r="Z265" i="6" s="1"/>
  <c r="AA265" i="6" s="1"/>
  <c r="G263" i="6"/>
  <c r="H263" i="6" s="1"/>
  <c r="I263" i="6" s="1"/>
  <c r="J263" i="6" s="1"/>
  <c r="K263" i="6" s="1"/>
  <c r="L263" i="6" s="1"/>
  <c r="M263" i="6" s="1"/>
  <c r="N263" i="6" s="1"/>
  <c r="O263" i="6" s="1"/>
  <c r="P263" i="6" s="1"/>
  <c r="Q263" i="6" s="1"/>
  <c r="R263" i="6" s="1"/>
  <c r="S263" i="6" s="1"/>
  <c r="T263" i="6" s="1"/>
  <c r="U263" i="6" s="1"/>
  <c r="V263" i="6" s="1"/>
  <c r="W263" i="6" s="1"/>
  <c r="X263" i="6" s="1"/>
  <c r="Y263" i="6" s="1"/>
  <c r="Z263" i="6" s="1"/>
  <c r="AA263" i="6" s="1"/>
  <c r="G261" i="6"/>
  <c r="H261" i="6" s="1"/>
  <c r="I261" i="6" s="1"/>
  <c r="J261" i="6" s="1"/>
  <c r="K261" i="6" s="1"/>
  <c r="L261" i="6" s="1"/>
  <c r="M261" i="6" s="1"/>
  <c r="N261" i="6" s="1"/>
  <c r="O261" i="6" s="1"/>
  <c r="P261" i="6" s="1"/>
  <c r="Q261" i="6" s="1"/>
  <c r="R261" i="6" s="1"/>
  <c r="S261" i="6" s="1"/>
  <c r="T261" i="6" s="1"/>
  <c r="U261" i="6" s="1"/>
  <c r="V261" i="6" s="1"/>
  <c r="W261" i="6" s="1"/>
  <c r="X261" i="6" s="1"/>
  <c r="Y261" i="6" s="1"/>
  <c r="Z261" i="6" s="1"/>
  <c r="AA261" i="6" s="1"/>
  <c r="G259" i="6"/>
  <c r="H259" i="6" s="1"/>
  <c r="I259" i="6" s="1"/>
  <c r="J259" i="6" s="1"/>
  <c r="K259" i="6" s="1"/>
  <c r="L259" i="6" s="1"/>
  <c r="M259" i="6" s="1"/>
  <c r="N259" i="6" s="1"/>
  <c r="O259" i="6" s="1"/>
  <c r="P259" i="6" s="1"/>
  <c r="Q259" i="6" s="1"/>
  <c r="R259" i="6" s="1"/>
  <c r="S259" i="6" s="1"/>
  <c r="T259" i="6" s="1"/>
  <c r="U259" i="6" s="1"/>
  <c r="V259" i="6" s="1"/>
  <c r="W259" i="6" s="1"/>
  <c r="X259" i="6" s="1"/>
  <c r="Y259" i="6" s="1"/>
  <c r="Z259" i="6" s="1"/>
  <c r="AA259" i="6" s="1"/>
  <c r="G257" i="6"/>
  <c r="H257" i="6" s="1"/>
  <c r="I257" i="6" s="1"/>
  <c r="J257" i="6" s="1"/>
  <c r="K257" i="6" s="1"/>
  <c r="L257" i="6" s="1"/>
  <c r="M257" i="6" s="1"/>
  <c r="N257" i="6" s="1"/>
  <c r="O257" i="6" s="1"/>
  <c r="P257" i="6" s="1"/>
  <c r="Q257" i="6" s="1"/>
  <c r="R257" i="6" s="1"/>
  <c r="S257" i="6" s="1"/>
  <c r="T257" i="6" s="1"/>
  <c r="U257" i="6" s="1"/>
  <c r="V257" i="6" s="1"/>
  <c r="W257" i="6" s="1"/>
  <c r="X257" i="6" s="1"/>
  <c r="Y257" i="6" s="1"/>
  <c r="Z257" i="6" s="1"/>
  <c r="AA257" i="6" s="1"/>
  <c r="G255" i="6"/>
  <c r="H255" i="6" s="1"/>
  <c r="I255" i="6" s="1"/>
  <c r="J255" i="6" s="1"/>
  <c r="K255" i="6" s="1"/>
  <c r="L255" i="6" s="1"/>
  <c r="M255" i="6" s="1"/>
  <c r="N255" i="6" s="1"/>
  <c r="O255" i="6" s="1"/>
  <c r="P255" i="6" s="1"/>
  <c r="Q255" i="6" s="1"/>
  <c r="R255" i="6" s="1"/>
  <c r="S255" i="6" s="1"/>
  <c r="T255" i="6" s="1"/>
  <c r="U255" i="6" s="1"/>
  <c r="V255" i="6" s="1"/>
  <c r="W255" i="6" s="1"/>
  <c r="X255" i="6" s="1"/>
  <c r="Y255" i="6" s="1"/>
  <c r="Z255" i="6" s="1"/>
  <c r="AA255" i="6" s="1"/>
  <c r="G251" i="6"/>
  <c r="H251" i="6" s="1"/>
  <c r="I251" i="6" s="1"/>
  <c r="J251" i="6" s="1"/>
  <c r="K251" i="6" s="1"/>
  <c r="L251" i="6" s="1"/>
  <c r="M251" i="6" s="1"/>
  <c r="N251" i="6" s="1"/>
  <c r="O251" i="6" s="1"/>
  <c r="P251" i="6" s="1"/>
  <c r="Q251" i="6" s="1"/>
  <c r="R251" i="6" s="1"/>
  <c r="S251" i="6" s="1"/>
  <c r="T251" i="6" s="1"/>
  <c r="U251" i="6" s="1"/>
  <c r="V251" i="6" s="1"/>
  <c r="W251" i="6" s="1"/>
  <c r="X251" i="6" s="1"/>
  <c r="Y251" i="6" s="1"/>
  <c r="Z251" i="6" s="1"/>
  <c r="AA251" i="6" s="1"/>
  <c r="G249" i="6"/>
  <c r="H249" i="6" s="1"/>
  <c r="I249" i="6" s="1"/>
  <c r="J249" i="6" s="1"/>
  <c r="K249" i="6" s="1"/>
  <c r="L249" i="6" s="1"/>
  <c r="M249" i="6" s="1"/>
  <c r="N249" i="6" s="1"/>
  <c r="O249" i="6" s="1"/>
  <c r="P249" i="6" s="1"/>
  <c r="Q249" i="6" s="1"/>
  <c r="R249" i="6" s="1"/>
  <c r="S249" i="6" s="1"/>
  <c r="T249" i="6" s="1"/>
  <c r="U249" i="6" s="1"/>
  <c r="V249" i="6" s="1"/>
  <c r="W249" i="6" s="1"/>
  <c r="X249" i="6" s="1"/>
  <c r="Y249" i="6" s="1"/>
  <c r="Z249" i="6" s="1"/>
  <c r="AA249" i="6" s="1"/>
  <c r="G247" i="6"/>
  <c r="H247" i="6" s="1"/>
  <c r="I247" i="6" s="1"/>
  <c r="J247" i="6" s="1"/>
  <c r="K247" i="6" s="1"/>
  <c r="L247" i="6" s="1"/>
  <c r="M247" i="6" s="1"/>
  <c r="N247" i="6" s="1"/>
  <c r="O247" i="6" s="1"/>
  <c r="P247" i="6" s="1"/>
  <c r="Q247" i="6" s="1"/>
  <c r="R247" i="6" s="1"/>
  <c r="S247" i="6" s="1"/>
  <c r="T247" i="6" s="1"/>
  <c r="U247" i="6" s="1"/>
  <c r="V247" i="6" s="1"/>
  <c r="W247" i="6" s="1"/>
  <c r="X247" i="6" s="1"/>
  <c r="Y247" i="6" s="1"/>
  <c r="Z247" i="6" s="1"/>
  <c r="AA247" i="6" s="1"/>
  <c r="G245" i="6"/>
  <c r="H245" i="6" s="1"/>
  <c r="I245" i="6" s="1"/>
  <c r="J245" i="6" s="1"/>
  <c r="K245" i="6" s="1"/>
  <c r="L245" i="6" s="1"/>
  <c r="M245" i="6" s="1"/>
  <c r="N245" i="6" s="1"/>
  <c r="O245" i="6" s="1"/>
  <c r="P245" i="6" s="1"/>
  <c r="Q245" i="6" s="1"/>
  <c r="R245" i="6" s="1"/>
  <c r="S245" i="6" s="1"/>
  <c r="T245" i="6" s="1"/>
  <c r="U245" i="6" s="1"/>
  <c r="V245" i="6" s="1"/>
  <c r="W245" i="6" s="1"/>
  <c r="X245" i="6" s="1"/>
  <c r="Y245" i="6" s="1"/>
  <c r="Z245" i="6" s="1"/>
  <c r="AA245" i="6" s="1"/>
  <c r="G243" i="6"/>
  <c r="H243" i="6" s="1"/>
  <c r="I243" i="6" s="1"/>
  <c r="J243" i="6" s="1"/>
  <c r="K243" i="6" s="1"/>
  <c r="L243" i="6" s="1"/>
  <c r="M243" i="6" s="1"/>
  <c r="N243" i="6" s="1"/>
  <c r="O243" i="6" s="1"/>
  <c r="P243" i="6" s="1"/>
  <c r="Q243" i="6" s="1"/>
  <c r="R243" i="6" s="1"/>
  <c r="S243" i="6" s="1"/>
  <c r="T243" i="6" s="1"/>
  <c r="U243" i="6" s="1"/>
  <c r="V243" i="6" s="1"/>
  <c r="W243" i="6" s="1"/>
  <c r="X243" i="6" s="1"/>
  <c r="Y243" i="6" s="1"/>
  <c r="Z243" i="6" s="1"/>
  <c r="AA243" i="6" s="1"/>
  <c r="G241" i="6"/>
  <c r="H241" i="6" s="1"/>
  <c r="I241" i="6" s="1"/>
  <c r="J241" i="6" s="1"/>
  <c r="K241" i="6" s="1"/>
  <c r="L241" i="6" s="1"/>
  <c r="M241" i="6" s="1"/>
  <c r="N241" i="6" s="1"/>
  <c r="O241" i="6" s="1"/>
  <c r="P241" i="6" s="1"/>
  <c r="Q241" i="6" s="1"/>
  <c r="R241" i="6" s="1"/>
  <c r="S241" i="6" s="1"/>
  <c r="T241" i="6" s="1"/>
  <c r="U241" i="6" s="1"/>
  <c r="V241" i="6" s="1"/>
  <c r="W241" i="6" s="1"/>
  <c r="X241" i="6" s="1"/>
  <c r="Y241" i="6" s="1"/>
  <c r="Z241" i="6" s="1"/>
  <c r="AA241" i="6" s="1"/>
  <c r="AL95" i="6"/>
  <c r="V110" i="6" s="1"/>
  <c r="AK95" i="6"/>
  <c r="V109" i="6" s="1"/>
  <c r="AL90" i="6"/>
  <c r="AL92" i="6" s="1"/>
  <c r="AK90" i="6"/>
  <c r="AK92" i="6" s="1"/>
  <c r="N183" i="6"/>
  <c r="M183" i="6"/>
  <c r="L183" i="6"/>
  <c r="K183" i="6"/>
  <c r="I183" i="6"/>
  <c r="J183" i="6"/>
  <c r="H183" i="6"/>
  <c r="G183" i="6"/>
  <c r="AL13" i="6"/>
  <c r="V28" i="6" s="1"/>
  <c r="AK13" i="6"/>
  <c r="V27" i="6" s="1"/>
  <c r="AL8" i="6"/>
  <c r="AL10" i="6" s="1"/>
  <c r="AK8" i="6"/>
  <c r="AK10" i="6" s="1"/>
  <c r="N180" i="6"/>
  <c r="S162" i="6"/>
  <c r="S164" i="6" s="1"/>
  <c r="T162" i="6"/>
  <c r="T163" i="6" s="1"/>
  <c r="U162" i="6"/>
  <c r="U163" i="6" s="1"/>
  <c r="N178" i="6" s="1"/>
  <c r="V162" i="6"/>
  <c r="V163" i="6" s="1"/>
  <c r="N179" i="6" s="1"/>
  <c r="S167" i="6"/>
  <c r="M181" i="6" s="1"/>
  <c r="T167" i="6"/>
  <c r="M182" i="6" s="1"/>
  <c r="U167" i="6"/>
  <c r="N181" i="6" s="1"/>
  <c r="V167" i="6"/>
  <c r="N182" i="6" s="1"/>
  <c r="P167" i="6"/>
  <c r="K182" i="6" s="1"/>
  <c r="O167" i="6"/>
  <c r="K181" i="6" s="1"/>
  <c r="N167" i="6"/>
  <c r="J182" i="6" s="1"/>
  <c r="M167" i="6"/>
  <c r="J181" i="6" s="1"/>
  <c r="L167" i="6"/>
  <c r="I182" i="6" s="1"/>
  <c r="K167" i="6"/>
  <c r="I181" i="6" s="1"/>
  <c r="P162" i="6"/>
  <c r="P163" i="6" s="1"/>
  <c r="O162" i="6"/>
  <c r="O163" i="6" s="1"/>
  <c r="N162" i="6"/>
  <c r="N163" i="6" s="1"/>
  <c r="M162" i="6"/>
  <c r="M163" i="6" s="1"/>
  <c r="L162" i="6"/>
  <c r="L163" i="6" s="1"/>
  <c r="I179" i="6" s="1"/>
  <c r="K162" i="6"/>
  <c r="K163" i="6" s="1"/>
  <c r="I178" i="6" s="1"/>
  <c r="J167" i="6"/>
  <c r="H182" i="6" s="1"/>
  <c r="I167" i="6"/>
  <c r="H181" i="6" s="1"/>
  <c r="J162" i="6"/>
  <c r="J164" i="6" s="1"/>
  <c r="I162" i="6"/>
  <c r="I164" i="6" s="1"/>
  <c r="H167" i="6"/>
  <c r="G182" i="6" s="1"/>
  <c r="G167" i="6"/>
  <c r="G181" i="6" s="1"/>
  <c r="H162" i="6"/>
  <c r="H163" i="6" s="1"/>
  <c r="G162" i="6"/>
  <c r="G164" i="6" s="1"/>
  <c r="M180" i="6"/>
  <c r="L180" i="6"/>
  <c r="K180" i="6"/>
  <c r="J180" i="6"/>
  <c r="I180" i="6"/>
  <c r="H180" i="6"/>
  <c r="G180" i="6"/>
  <c r="R167" i="6"/>
  <c r="L182" i="6" s="1"/>
  <c r="Q167" i="6"/>
  <c r="L181" i="6" s="1"/>
  <c r="R162" i="6"/>
  <c r="R164" i="6" s="1"/>
  <c r="Q162" i="6"/>
  <c r="Q164" i="6" s="1"/>
  <c r="Y108" i="6"/>
  <c r="X108" i="6"/>
  <c r="W108" i="6"/>
  <c r="V108" i="6"/>
  <c r="U108" i="6"/>
  <c r="T108" i="6"/>
  <c r="S108" i="6"/>
  <c r="R108" i="6"/>
  <c r="Q108" i="6"/>
  <c r="P108" i="6"/>
  <c r="O108" i="6"/>
  <c r="N108" i="6"/>
  <c r="M108" i="6"/>
  <c r="L108" i="6"/>
  <c r="K108" i="6"/>
  <c r="J108" i="6"/>
  <c r="I108" i="6"/>
  <c r="H108" i="6"/>
  <c r="G108" i="6"/>
  <c r="AR95" i="6"/>
  <c r="Y110" i="6" s="1"/>
  <c r="AQ95" i="6"/>
  <c r="Y109" i="6" s="1"/>
  <c r="AP95" i="6"/>
  <c r="X110" i="6" s="1"/>
  <c r="AO95" i="6"/>
  <c r="X109" i="6" s="1"/>
  <c r="AN95" i="6"/>
  <c r="W110" i="6" s="1"/>
  <c r="AM95" i="6"/>
  <c r="W109" i="6" s="1"/>
  <c r="AJ95" i="6"/>
  <c r="U110" i="6" s="1"/>
  <c r="AI95" i="6"/>
  <c r="U109" i="6" s="1"/>
  <c r="AH95" i="6"/>
  <c r="T110" i="6" s="1"/>
  <c r="AG95" i="6"/>
  <c r="T109" i="6" s="1"/>
  <c r="AF95" i="6"/>
  <c r="S110" i="6" s="1"/>
  <c r="AE95" i="6"/>
  <c r="S109" i="6" s="1"/>
  <c r="AD95" i="6"/>
  <c r="R110" i="6" s="1"/>
  <c r="AC95" i="6"/>
  <c r="R109" i="6" s="1"/>
  <c r="AB95" i="6"/>
  <c r="Q110" i="6" s="1"/>
  <c r="AA95" i="6"/>
  <c r="Q109" i="6" s="1"/>
  <c r="Z95" i="6"/>
  <c r="P110" i="6" s="1"/>
  <c r="Y95" i="6"/>
  <c r="P109" i="6" s="1"/>
  <c r="X95" i="6"/>
  <c r="O110" i="6" s="1"/>
  <c r="W95" i="6"/>
  <c r="O109" i="6" s="1"/>
  <c r="V95" i="6"/>
  <c r="N110" i="6" s="1"/>
  <c r="U95" i="6"/>
  <c r="N109" i="6" s="1"/>
  <c r="T95" i="6"/>
  <c r="M110" i="6" s="1"/>
  <c r="S95" i="6"/>
  <c r="M109" i="6" s="1"/>
  <c r="R95" i="6"/>
  <c r="L110" i="6" s="1"/>
  <c r="Q95" i="6"/>
  <c r="L109" i="6" s="1"/>
  <c r="P95" i="6"/>
  <c r="K110" i="6" s="1"/>
  <c r="O95" i="6"/>
  <c r="K109" i="6" s="1"/>
  <c r="N95" i="6"/>
  <c r="J110" i="6" s="1"/>
  <c r="M95" i="6"/>
  <c r="J109" i="6" s="1"/>
  <c r="L95" i="6"/>
  <c r="I110" i="6" s="1"/>
  <c r="K95" i="6"/>
  <c r="I109" i="6" s="1"/>
  <c r="J95" i="6"/>
  <c r="H110" i="6" s="1"/>
  <c r="I95" i="6"/>
  <c r="H109" i="6" s="1"/>
  <c r="H95" i="6"/>
  <c r="G110" i="6" s="1"/>
  <c r="G95" i="6"/>
  <c r="G109" i="6" s="1"/>
  <c r="AR90" i="6"/>
  <c r="AR92" i="6" s="1"/>
  <c r="AQ90" i="6"/>
  <c r="AQ92" i="6" s="1"/>
  <c r="AP90" i="6"/>
  <c r="AP92" i="6" s="1"/>
  <c r="AO90" i="6"/>
  <c r="AO92" i="6" s="1"/>
  <c r="AN90" i="6"/>
  <c r="AN92" i="6" s="1"/>
  <c r="AM90" i="6"/>
  <c r="AM92" i="6" s="1"/>
  <c r="AJ90" i="6"/>
  <c r="AJ92" i="6" s="1"/>
  <c r="AI90" i="6"/>
  <c r="AI92" i="6" s="1"/>
  <c r="AH90" i="6"/>
  <c r="AH91" i="6" s="1"/>
  <c r="T107" i="6" s="1"/>
  <c r="AG90" i="6"/>
  <c r="AG92" i="6" s="1"/>
  <c r="AF90" i="6"/>
  <c r="AF92" i="6" s="1"/>
  <c r="AE90" i="6"/>
  <c r="AE92" i="6" s="1"/>
  <c r="AD90" i="6"/>
  <c r="AD92" i="6" s="1"/>
  <c r="AC90" i="6"/>
  <c r="AC92" i="6" s="1"/>
  <c r="AB90" i="6"/>
  <c r="AB92" i="6" s="1"/>
  <c r="AA90" i="6"/>
  <c r="AA92" i="6" s="1"/>
  <c r="Z90" i="6"/>
  <c r="Z92" i="6" s="1"/>
  <c r="Y90" i="6"/>
  <c r="Y92" i="6" s="1"/>
  <c r="X90" i="6"/>
  <c r="X92" i="6" s="1"/>
  <c r="W90" i="6"/>
  <c r="W92" i="6" s="1"/>
  <c r="V90" i="6"/>
  <c r="V91" i="6" s="1"/>
  <c r="N107" i="6" s="1"/>
  <c r="U90" i="6"/>
  <c r="U92" i="6" s="1"/>
  <c r="T90" i="6"/>
  <c r="T92" i="6" s="1"/>
  <c r="S90" i="6"/>
  <c r="S92" i="6" s="1"/>
  <c r="R90" i="6"/>
  <c r="R92" i="6" s="1"/>
  <c r="Q90" i="6"/>
  <c r="Q92" i="6" s="1"/>
  <c r="P90" i="6"/>
  <c r="P92" i="6" s="1"/>
  <c r="O90" i="6"/>
  <c r="O92" i="6" s="1"/>
  <c r="N90" i="6"/>
  <c r="N92" i="6" s="1"/>
  <c r="M90" i="6"/>
  <c r="M92" i="6" s="1"/>
  <c r="L90" i="6"/>
  <c r="L92" i="6" s="1"/>
  <c r="K90" i="6"/>
  <c r="K92" i="6" s="1"/>
  <c r="J90" i="6"/>
  <c r="J91" i="6" s="1"/>
  <c r="H107" i="6" s="1"/>
  <c r="I90" i="6"/>
  <c r="I91" i="6" s="1"/>
  <c r="H106" i="6" s="1"/>
  <c r="H90" i="6"/>
  <c r="H92" i="6" s="1"/>
  <c r="G90" i="6"/>
  <c r="G92" i="6" s="1"/>
  <c r="Y26" i="6"/>
  <c r="X26" i="6"/>
  <c r="W26" i="6"/>
  <c r="V26" i="6"/>
  <c r="U26" i="6"/>
  <c r="T26" i="6"/>
  <c r="S26" i="6"/>
  <c r="R26" i="6"/>
  <c r="Q26" i="6"/>
  <c r="P26" i="6"/>
  <c r="O26" i="6"/>
  <c r="N26" i="6"/>
  <c r="M26" i="6"/>
  <c r="L26" i="6"/>
  <c r="K26" i="6"/>
  <c r="J26" i="6"/>
  <c r="I26" i="6"/>
  <c r="H26" i="6"/>
  <c r="G26" i="6"/>
  <c r="AR13" i="6"/>
  <c r="Y28" i="6" s="1"/>
  <c r="AQ13" i="6"/>
  <c r="Y27" i="6" s="1"/>
  <c r="AP13" i="6"/>
  <c r="X28" i="6" s="1"/>
  <c r="AO13" i="6"/>
  <c r="X27" i="6" s="1"/>
  <c r="AN13" i="6"/>
  <c r="W28" i="6" s="1"/>
  <c r="AM13" i="6"/>
  <c r="W27" i="6" s="1"/>
  <c r="AJ13" i="6"/>
  <c r="U28" i="6" s="1"/>
  <c r="AI13" i="6"/>
  <c r="U27" i="6" s="1"/>
  <c r="AH13" i="6"/>
  <c r="T28" i="6" s="1"/>
  <c r="AG13" i="6"/>
  <c r="T27" i="6" s="1"/>
  <c r="AF13" i="6"/>
  <c r="S28" i="6" s="1"/>
  <c r="AE13" i="6"/>
  <c r="S27" i="6" s="1"/>
  <c r="AD13" i="6"/>
  <c r="R28" i="6" s="1"/>
  <c r="AC13" i="6"/>
  <c r="R27" i="6" s="1"/>
  <c r="AB13" i="6"/>
  <c r="Q28" i="6" s="1"/>
  <c r="AA13" i="6"/>
  <c r="Q27" i="6" s="1"/>
  <c r="Z13" i="6"/>
  <c r="P28" i="6" s="1"/>
  <c r="Y13" i="6"/>
  <c r="P27" i="6" s="1"/>
  <c r="X13" i="6"/>
  <c r="O28" i="6" s="1"/>
  <c r="W13" i="6"/>
  <c r="O27" i="6" s="1"/>
  <c r="V13" i="6"/>
  <c r="N28" i="6" s="1"/>
  <c r="U13" i="6"/>
  <c r="N27" i="6" s="1"/>
  <c r="T13" i="6"/>
  <c r="M28" i="6" s="1"/>
  <c r="S13" i="6"/>
  <c r="M27" i="6" s="1"/>
  <c r="R13" i="6"/>
  <c r="L28" i="6" s="1"/>
  <c r="Q13" i="6"/>
  <c r="L27" i="6" s="1"/>
  <c r="P13" i="6"/>
  <c r="K28" i="6" s="1"/>
  <c r="O13" i="6"/>
  <c r="K27" i="6" s="1"/>
  <c r="N13" i="6"/>
  <c r="J28" i="6" s="1"/>
  <c r="M13" i="6"/>
  <c r="J27" i="6" s="1"/>
  <c r="L13" i="6"/>
  <c r="I28" i="6" s="1"/>
  <c r="K13" i="6"/>
  <c r="I27" i="6" s="1"/>
  <c r="J13" i="6"/>
  <c r="H28" i="6" s="1"/>
  <c r="I13" i="6"/>
  <c r="H27" i="6" s="1"/>
  <c r="H13" i="6"/>
  <c r="G28" i="6" s="1"/>
  <c r="G13" i="6"/>
  <c r="G27" i="6" s="1"/>
  <c r="AR8" i="6"/>
  <c r="AR9" i="6" s="1"/>
  <c r="Y25" i="6" s="1"/>
  <c r="AQ8" i="6"/>
  <c r="AQ10" i="6" s="1"/>
  <c r="AP8" i="6"/>
  <c r="AP10" i="6" s="1"/>
  <c r="AO8" i="6"/>
  <c r="AO10" i="6" s="1"/>
  <c r="AN8" i="6"/>
  <c r="AN10" i="6" s="1"/>
  <c r="AM8" i="6"/>
  <c r="AM10" i="6" s="1"/>
  <c r="AJ8" i="6"/>
  <c r="AJ10" i="6" s="1"/>
  <c r="AI8" i="6"/>
  <c r="AI10" i="6" s="1"/>
  <c r="AH8" i="6"/>
  <c r="AH10" i="6" s="1"/>
  <c r="AG8" i="6"/>
  <c r="AG9" i="6" s="1"/>
  <c r="T24" i="6" s="1"/>
  <c r="AF8" i="6"/>
  <c r="AF9" i="6" s="1"/>
  <c r="S25" i="6" s="1"/>
  <c r="AE8" i="6"/>
  <c r="AE9" i="6" s="1"/>
  <c r="S24" i="6" s="1"/>
  <c r="AD8" i="6"/>
  <c r="AD10" i="6" s="1"/>
  <c r="AC8" i="6"/>
  <c r="AC9" i="6" s="1"/>
  <c r="R24" i="6" s="1"/>
  <c r="AB8" i="6"/>
  <c r="AB10" i="6" s="1"/>
  <c r="AA8" i="6"/>
  <c r="AA10" i="6" s="1"/>
  <c r="Z8" i="6"/>
  <c r="Z9" i="6" s="1"/>
  <c r="P25" i="6" s="1"/>
  <c r="Y8" i="6"/>
  <c r="Y9" i="6" s="1"/>
  <c r="P24" i="6" s="1"/>
  <c r="X8" i="6"/>
  <c r="X10" i="6" s="1"/>
  <c r="W8" i="6"/>
  <c r="W10" i="6" s="1"/>
  <c r="V8" i="6"/>
  <c r="V10" i="6" s="1"/>
  <c r="U8" i="6"/>
  <c r="U9" i="6" s="1"/>
  <c r="N24" i="6" s="1"/>
  <c r="T8" i="6"/>
  <c r="T9" i="6" s="1"/>
  <c r="M25" i="6" s="1"/>
  <c r="S8" i="6"/>
  <c r="S9" i="6" s="1"/>
  <c r="M24" i="6" s="1"/>
  <c r="R8" i="6"/>
  <c r="R10" i="6" s="1"/>
  <c r="Q8" i="6"/>
  <c r="Q9" i="6" s="1"/>
  <c r="L24" i="6" s="1"/>
  <c r="P8" i="6"/>
  <c r="P10" i="6" s="1"/>
  <c r="O8" i="6"/>
  <c r="O10" i="6" s="1"/>
  <c r="N8" i="6"/>
  <c r="N9" i="6" s="1"/>
  <c r="J25" i="6" s="1"/>
  <c r="M8" i="6"/>
  <c r="M9" i="6" s="1"/>
  <c r="J24" i="6" s="1"/>
  <c r="L8" i="6"/>
  <c r="L10" i="6" s="1"/>
  <c r="K8" i="6"/>
  <c r="K10" i="6" s="1"/>
  <c r="J8" i="6"/>
  <c r="J10" i="6" s="1"/>
  <c r="I8" i="6"/>
  <c r="I9" i="6" s="1"/>
  <c r="H24" i="6" s="1"/>
  <c r="H8" i="6"/>
  <c r="H9" i="6" s="1"/>
  <c r="G25" i="6" s="1"/>
  <c r="G8" i="6"/>
  <c r="G9" i="6" s="1"/>
  <c r="G24" i="6" s="1"/>
  <c r="C87" i="5"/>
  <c r="C85" i="5"/>
  <c r="U87" i="5"/>
  <c r="T87" i="5"/>
  <c r="S87" i="5"/>
  <c r="R87" i="5"/>
  <c r="Q87" i="5"/>
  <c r="P87" i="5"/>
  <c r="O87" i="5"/>
  <c r="N87" i="5"/>
  <c r="M87" i="5"/>
  <c r="L87" i="5"/>
  <c r="K87" i="5"/>
  <c r="J87" i="5"/>
  <c r="I87" i="5"/>
  <c r="H87" i="5"/>
  <c r="G87" i="5"/>
  <c r="F87" i="5"/>
  <c r="E87" i="5"/>
  <c r="D87" i="5"/>
  <c r="U86" i="5"/>
  <c r="T86" i="5"/>
  <c r="S86" i="5"/>
  <c r="R86" i="5"/>
  <c r="Q86" i="5"/>
  <c r="P86" i="5"/>
  <c r="O86" i="5"/>
  <c r="N86" i="5"/>
  <c r="M86" i="5"/>
  <c r="L86" i="5"/>
  <c r="K86" i="5"/>
  <c r="J86" i="5"/>
  <c r="I86" i="5"/>
  <c r="H86" i="5"/>
  <c r="G86" i="5"/>
  <c r="F86" i="5"/>
  <c r="E86" i="5"/>
  <c r="D86" i="5"/>
  <c r="C86" i="5"/>
  <c r="U85" i="5"/>
  <c r="T85" i="5"/>
  <c r="S85" i="5"/>
  <c r="R85" i="5"/>
  <c r="Q85" i="5"/>
  <c r="P85" i="5"/>
  <c r="O85" i="5"/>
  <c r="N85" i="5"/>
  <c r="M85" i="5"/>
  <c r="L85" i="5"/>
  <c r="K85" i="5"/>
  <c r="J85" i="5"/>
  <c r="I85" i="5"/>
  <c r="H85" i="5"/>
  <c r="G85" i="5"/>
  <c r="F85" i="5"/>
  <c r="E85" i="5"/>
  <c r="D85" i="5"/>
  <c r="AN74" i="5"/>
  <c r="AM74" i="5"/>
  <c r="AL74" i="5"/>
  <c r="AK74" i="5"/>
  <c r="AJ74" i="5"/>
  <c r="AI74" i="5"/>
  <c r="AH74" i="5"/>
  <c r="AG74" i="5"/>
  <c r="AF74" i="5"/>
  <c r="AE74" i="5"/>
  <c r="AD74" i="5"/>
  <c r="AC74" i="5"/>
  <c r="AB74" i="5"/>
  <c r="AA74" i="5"/>
  <c r="Z74" i="5"/>
  <c r="Y74" i="5"/>
  <c r="X74" i="5"/>
  <c r="W74" i="5"/>
  <c r="V74" i="5"/>
  <c r="U74" i="5"/>
  <c r="T74" i="5"/>
  <c r="S74" i="5"/>
  <c r="R74" i="5"/>
  <c r="Q74" i="5"/>
  <c r="P74" i="5"/>
  <c r="O74" i="5"/>
  <c r="N74" i="5"/>
  <c r="M74" i="5"/>
  <c r="L74" i="5"/>
  <c r="K74" i="5"/>
  <c r="J74" i="5"/>
  <c r="I74" i="5"/>
  <c r="H74" i="5"/>
  <c r="G74" i="5"/>
  <c r="F74" i="5"/>
  <c r="E74" i="5"/>
  <c r="D74" i="5"/>
  <c r="C74" i="5"/>
  <c r="AI71" i="5"/>
  <c r="AH71" i="5"/>
  <c r="AG71" i="5"/>
  <c r="W71" i="5"/>
  <c r="U71" i="5"/>
  <c r="K71" i="5"/>
  <c r="I71" i="5"/>
  <c r="AI70" i="5"/>
  <c r="W70" i="5"/>
  <c r="K70" i="5"/>
  <c r="AN69" i="5"/>
  <c r="AN71" i="5" s="1"/>
  <c r="AM69" i="5"/>
  <c r="AM71" i="5" s="1"/>
  <c r="AL69" i="5"/>
  <c r="AL71" i="5" s="1"/>
  <c r="AK69" i="5"/>
  <c r="AK70" i="5" s="1"/>
  <c r="AJ69" i="5"/>
  <c r="AJ70" i="5" s="1"/>
  <c r="AI69" i="5"/>
  <c r="AH69" i="5"/>
  <c r="AH70" i="5" s="1"/>
  <c r="AG69" i="5"/>
  <c r="AG70" i="5" s="1"/>
  <c r="AF69" i="5"/>
  <c r="AF71" i="5" s="1"/>
  <c r="AE69" i="5"/>
  <c r="AE71" i="5" s="1"/>
  <c r="AD69" i="5"/>
  <c r="AD71" i="5" s="1"/>
  <c r="AC69" i="5"/>
  <c r="AC71" i="5" s="1"/>
  <c r="AB69" i="5"/>
  <c r="AB71" i="5" s="1"/>
  <c r="AA69" i="5"/>
  <c r="AA71" i="5" s="1"/>
  <c r="Z69" i="5"/>
  <c r="Z71" i="5" s="1"/>
  <c r="Y69" i="5"/>
  <c r="Y70" i="5" s="1"/>
  <c r="X69" i="5"/>
  <c r="X70" i="5" s="1"/>
  <c r="W69" i="5"/>
  <c r="V69" i="5"/>
  <c r="V70" i="5" s="1"/>
  <c r="U69" i="5"/>
  <c r="U70" i="5" s="1"/>
  <c r="T69" i="5"/>
  <c r="T71" i="5" s="1"/>
  <c r="S69" i="5"/>
  <c r="S71" i="5" s="1"/>
  <c r="R69" i="5"/>
  <c r="R71" i="5" s="1"/>
  <c r="Q69" i="5"/>
  <c r="Q71" i="5" s="1"/>
  <c r="P69" i="5"/>
  <c r="P71" i="5" s="1"/>
  <c r="O69" i="5"/>
  <c r="O71" i="5" s="1"/>
  <c r="N69" i="5"/>
  <c r="N71" i="5" s="1"/>
  <c r="M69" i="5"/>
  <c r="M70" i="5" s="1"/>
  <c r="L69" i="5"/>
  <c r="L71" i="5" s="1"/>
  <c r="K69" i="5"/>
  <c r="J69" i="5"/>
  <c r="J70" i="5" s="1"/>
  <c r="I69" i="5"/>
  <c r="I70" i="5" s="1"/>
  <c r="H69" i="5"/>
  <c r="H71" i="5" s="1"/>
  <c r="G69" i="5"/>
  <c r="G71" i="5" s="1"/>
  <c r="F69" i="5"/>
  <c r="F71" i="5" s="1"/>
  <c r="E69" i="5"/>
  <c r="E71" i="5" s="1"/>
  <c r="D69" i="5"/>
  <c r="D71" i="5" s="1"/>
  <c r="C69" i="5"/>
  <c r="C70" i="5" s="1"/>
  <c r="U26" i="5"/>
  <c r="AN13" i="5"/>
  <c r="AM13" i="5"/>
  <c r="AN8" i="5"/>
  <c r="AN10" i="5" s="1"/>
  <c r="AM8" i="5"/>
  <c r="AM10" i="5" s="1"/>
  <c r="Q26" i="5"/>
  <c r="P26" i="5"/>
  <c r="O26" i="5"/>
  <c r="N26" i="5"/>
  <c r="M26" i="5"/>
  <c r="L26" i="5"/>
  <c r="K26" i="5"/>
  <c r="J26" i="5"/>
  <c r="I26" i="5"/>
  <c r="H26" i="5"/>
  <c r="G26" i="5"/>
  <c r="F26" i="5"/>
  <c r="E26" i="5"/>
  <c r="D26" i="5"/>
  <c r="C26" i="5"/>
  <c r="T26" i="5"/>
  <c r="S26" i="5"/>
  <c r="R26" i="5"/>
  <c r="AL13" i="5"/>
  <c r="AK13" i="5"/>
  <c r="AL8" i="5"/>
  <c r="AL10" i="5" s="1"/>
  <c r="AK8" i="5"/>
  <c r="AK10" i="5" s="1"/>
  <c r="AA13" i="5"/>
  <c r="AB13" i="5"/>
  <c r="AC13" i="5"/>
  <c r="AD13" i="5"/>
  <c r="AE13" i="5"/>
  <c r="AF13" i="5"/>
  <c r="AA8" i="5"/>
  <c r="AA10" i="5" s="1"/>
  <c r="AB8" i="5"/>
  <c r="AB10" i="5" s="1"/>
  <c r="AC8" i="5"/>
  <c r="AC9" i="5" s="1"/>
  <c r="P24" i="5" s="1"/>
  <c r="AD8" i="5"/>
  <c r="AD10" i="5" s="1"/>
  <c r="AE8" i="5"/>
  <c r="AE10" i="5" s="1"/>
  <c r="AF8" i="5"/>
  <c r="AF9" i="5" s="1"/>
  <c r="Q25" i="5" s="1"/>
  <c r="Y13" i="5"/>
  <c r="Z13" i="5"/>
  <c r="Y8" i="5"/>
  <c r="Y10" i="5" s="1"/>
  <c r="Z8" i="5"/>
  <c r="Z10" i="5" s="1"/>
  <c r="AJ13" i="5"/>
  <c r="AI13" i="5"/>
  <c r="AH13" i="5"/>
  <c r="AG13" i="5"/>
  <c r="X13" i="5"/>
  <c r="W13" i="5"/>
  <c r="V13" i="5"/>
  <c r="U13" i="5"/>
  <c r="T13" i="5"/>
  <c r="S13" i="5"/>
  <c r="R13" i="5"/>
  <c r="Q13" i="5"/>
  <c r="P13" i="5"/>
  <c r="O13" i="5"/>
  <c r="N13" i="5"/>
  <c r="M13" i="5"/>
  <c r="L13" i="5"/>
  <c r="K13" i="5"/>
  <c r="J13" i="5"/>
  <c r="I13" i="5"/>
  <c r="H13" i="5"/>
  <c r="G13" i="5"/>
  <c r="F13" i="5"/>
  <c r="E13" i="5"/>
  <c r="D13" i="5"/>
  <c r="C13" i="5"/>
  <c r="AJ8" i="5"/>
  <c r="AJ10" i="5" s="1"/>
  <c r="AI8" i="5"/>
  <c r="AI10" i="5" s="1"/>
  <c r="AH8" i="5"/>
  <c r="AH9" i="5" s="1"/>
  <c r="R25" i="5" s="1"/>
  <c r="AG8" i="5"/>
  <c r="AG9" i="5" s="1"/>
  <c r="R24" i="5" s="1"/>
  <c r="X8" i="5"/>
  <c r="X10" i="5" s="1"/>
  <c r="W8" i="5"/>
  <c r="W10" i="5" s="1"/>
  <c r="V8" i="5"/>
  <c r="V10" i="5" s="1"/>
  <c r="U8" i="5"/>
  <c r="U10" i="5" s="1"/>
  <c r="T8" i="5"/>
  <c r="T10" i="5" s="1"/>
  <c r="S8" i="5"/>
  <c r="S10" i="5" s="1"/>
  <c r="R8" i="5"/>
  <c r="R9" i="5" s="1"/>
  <c r="J25" i="5" s="1"/>
  <c r="Q8" i="5"/>
  <c r="Q9" i="5" s="1"/>
  <c r="J24" i="5" s="1"/>
  <c r="P8" i="5"/>
  <c r="P10" i="5" s="1"/>
  <c r="O8" i="5"/>
  <c r="O10" i="5" s="1"/>
  <c r="N8" i="5"/>
  <c r="N9" i="5" s="1"/>
  <c r="H25" i="5" s="1"/>
  <c r="M8" i="5"/>
  <c r="M10" i="5" s="1"/>
  <c r="L8" i="5"/>
  <c r="L10" i="5" s="1"/>
  <c r="K8" i="5"/>
  <c r="K10" i="5" s="1"/>
  <c r="J8" i="5"/>
  <c r="J10" i="5" s="1"/>
  <c r="I8" i="5"/>
  <c r="I10" i="5" s="1"/>
  <c r="H8" i="5"/>
  <c r="H10" i="5" s="1"/>
  <c r="G8" i="5"/>
  <c r="G10" i="5" s="1"/>
  <c r="F8" i="5"/>
  <c r="F9" i="5" s="1"/>
  <c r="D25" i="5" s="1"/>
  <c r="E8" i="5"/>
  <c r="E9" i="5" s="1"/>
  <c r="D24" i="5" s="1"/>
  <c r="D8" i="5"/>
  <c r="D10" i="5" s="1"/>
  <c r="C8" i="5"/>
  <c r="C10" i="5" s="1"/>
  <c r="G308" i="6" l="1"/>
  <c r="G294" i="6"/>
  <c r="G280" i="6"/>
  <c r="G266" i="6"/>
  <c r="G252" i="6"/>
  <c r="AK91" i="6"/>
  <c r="V106" i="6" s="1"/>
  <c r="AL91" i="6"/>
  <c r="V107" i="6" s="1"/>
  <c r="AK9" i="6"/>
  <c r="V24" i="6" s="1"/>
  <c r="AL9" i="6"/>
  <c r="V25" i="6" s="1"/>
  <c r="G10" i="6"/>
  <c r="U91" i="6"/>
  <c r="N106" i="6" s="1"/>
  <c r="AG91" i="6"/>
  <c r="T106" i="6" s="1"/>
  <c r="I92" i="6"/>
  <c r="O9" i="6"/>
  <c r="K24" i="6" s="1"/>
  <c r="P9" i="6"/>
  <c r="K25" i="6" s="1"/>
  <c r="AH9" i="6"/>
  <c r="T25" i="6" s="1"/>
  <c r="K91" i="6"/>
  <c r="I106" i="6" s="1"/>
  <c r="S163" i="6"/>
  <c r="M178" i="6" s="1"/>
  <c r="AI91" i="6"/>
  <c r="U106" i="6" s="1"/>
  <c r="H10" i="6"/>
  <c r="W91" i="6"/>
  <c r="O106" i="6" s="1"/>
  <c r="Y10" i="6"/>
  <c r="Z10" i="6"/>
  <c r="AE10" i="6"/>
  <c r="V164" i="6"/>
  <c r="U164" i="6"/>
  <c r="T164" i="6"/>
  <c r="K164" i="6"/>
  <c r="L164" i="6"/>
  <c r="O164" i="6"/>
  <c r="P164" i="6"/>
  <c r="M164" i="6"/>
  <c r="N164" i="6"/>
  <c r="I163" i="6"/>
  <c r="H178" i="6" s="1"/>
  <c r="J163" i="6"/>
  <c r="H179" i="6" s="1"/>
  <c r="H164" i="6"/>
  <c r="G163" i="6"/>
  <c r="G178" i="6" s="1"/>
  <c r="J178" i="6"/>
  <c r="J179" i="6"/>
  <c r="K178" i="6"/>
  <c r="K179" i="6"/>
  <c r="Q163" i="6"/>
  <c r="L178" i="6" s="1"/>
  <c r="R163" i="6"/>
  <c r="L179" i="6" s="1"/>
  <c r="G179" i="6"/>
  <c r="M179" i="6"/>
  <c r="L91" i="6"/>
  <c r="I107" i="6" s="1"/>
  <c r="X91" i="6"/>
  <c r="O107" i="6" s="1"/>
  <c r="AJ91" i="6"/>
  <c r="U107" i="6" s="1"/>
  <c r="J92" i="6"/>
  <c r="V92" i="6"/>
  <c r="AH92" i="6"/>
  <c r="M91" i="6"/>
  <c r="J106" i="6" s="1"/>
  <c r="Y91" i="6"/>
  <c r="P106" i="6" s="1"/>
  <c r="N91" i="6"/>
  <c r="J107" i="6" s="1"/>
  <c r="Z91" i="6"/>
  <c r="P107" i="6" s="1"/>
  <c r="O91" i="6"/>
  <c r="K106" i="6" s="1"/>
  <c r="AA91" i="6"/>
  <c r="Q106" i="6" s="1"/>
  <c r="AM91" i="6"/>
  <c r="W106" i="6" s="1"/>
  <c r="P91" i="6"/>
  <c r="K107" i="6" s="1"/>
  <c r="AB91" i="6"/>
  <c r="Q107" i="6" s="1"/>
  <c r="AN91" i="6"/>
  <c r="W107" i="6" s="1"/>
  <c r="Q91" i="6"/>
  <c r="L106" i="6" s="1"/>
  <c r="AC91" i="6"/>
  <c r="R106" i="6" s="1"/>
  <c r="AO91" i="6"/>
  <c r="X106" i="6" s="1"/>
  <c r="R91" i="6"/>
  <c r="L107" i="6" s="1"/>
  <c r="AD91" i="6"/>
  <c r="R107" i="6" s="1"/>
  <c r="AP91" i="6"/>
  <c r="X107" i="6" s="1"/>
  <c r="G91" i="6"/>
  <c r="G106" i="6" s="1"/>
  <c r="S91" i="6"/>
  <c r="M106" i="6" s="1"/>
  <c r="AE91" i="6"/>
  <c r="S106" i="6" s="1"/>
  <c r="AQ91" i="6"/>
  <c r="Y106" i="6" s="1"/>
  <c r="H91" i="6"/>
  <c r="G107" i="6" s="1"/>
  <c r="T91" i="6"/>
  <c r="M107" i="6" s="1"/>
  <c r="AF91" i="6"/>
  <c r="S107" i="6" s="1"/>
  <c r="AR91" i="6"/>
  <c r="Y107" i="6" s="1"/>
  <c r="AA9" i="6"/>
  <c r="Q24" i="6" s="1"/>
  <c r="AB9" i="6"/>
  <c r="Q25" i="6" s="1"/>
  <c r="V9" i="6"/>
  <c r="N25" i="6" s="1"/>
  <c r="S10" i="6"/>
  <c r="T10" i="6"/>
  <c r="AF10" i="6"/>
  <c r="M10" i="6"/>
  <c r="N10" i="6"/>
  <c r="J9" i="6"/>
  <c r="H25" i="6" s="1"/>
  <c r="AR10" i="6"/>
  <c r="AQ9" i="6"/>
  <c r="Y24" i="6" s="1"/>
  <c r="AN9" i="6"/>
  <c r="W25" i="6" s="1"/>
  <c r="AM9" i="6"/>
  <c r="W24" i="6" s="1"/>
  <c r="K9" i="6"/>
  <c r="I24" i="6" s="1"/>
  <c r="W9" i="6"/>
  <c r="O24" i="6" s="1"/>
  <c r="AI9" i="6"/>
  <c r="U24" i="6" s="1"/>
  <c r="I10" i="6"/>
  <c r="U10" i="6"/>
  <c r="AG10" i="6"/>
  <c r="L9" i="6"/>
  <c r="I25" i="6" s="1"/>
  <c r="X9" i="6"/>
  <c r="O25" i="6" s="1"/>
  <c r="AJ9" i="6"/>
  <c r="U25" i="6" s="1"/>
  <c r="AC10" i="6"/>
  <c r="Q10" i="6"/>
  <c r="AO9" i="6"/>
  <c r="X24" i="6" s="1"/>
  <c r="R9" i="6"/>
  <c r="L25" i="6" s="1"/>
  <c r="AD9" i="6"/>
  <c r="R25" i="6" s="1"/>
  <c r="AP9" i="6"/>
  <c r="X25" i="6" s="1"/>
  <c r="AJ71" i="5"/>
  <c r="X71" i="5"/>
  <c r="V71" i="5"/>
  <c r="L70" i="5"/>
  <c r="J71" i="5"/>
  <c r="N70" i="5"/>
  <c r="C71" i="5"/>
  <c r="Z70" i="5"/>
  <c r="AL70" i="5"/>
  <c r="O70" i="5"/>
  <c r="AA70" i="5"/>
  <c r="AM70" i="5"/>
  <c r="M71" i="5"/>
  <c r="Y71" i="5"/>
  <c r="AK71" i="5"/>
  <c r="D70" i="5"/>
  <c r="P70" i="5"/>
  <c r="AB70" i="5"/>
  <c r="AN70" i="5"/>
  <c r="E70" i="5"/>
  <c r="Q70" i="5"/>
  <c r="AC70" i="5"/>
  <c r="F70" i="5"/>
  <c r="R70" i="5"/>
  <c r="AD70" i="5"/>
  <c r="G70" i="5"/>
  <c r="S70" i="5"/>
  <c r="AE70" i="5"/>
  <c r="H70" i="5"/>
  <c r="T70" i="5"/>
  <c r="AF70" i="5"/>
  <c r="AM9" i="5"/>
  <c r="U24" i="5" s="1"/>
  <c r="AN9" i="5"/>
  <c r="U25" i="5" s="1"/>
  <c r="AB9" i="5"/>
  <c r="O25" i="5" s="1"/>
  <c r="AF10" i="5"/>
  <c r="AK9" i="5"/>
  <c r="T24" i="5" s="1"/>
  <c r="AL9" i="5"/>
  <c r="T25" i="5" s="1"/>
  <c r="AE9" i="5"/>
  <c r="Q24" i="5" s="1"/>
  <c r="AD9" i="5"/>
  <c r="P25" i="5" s="1"/>
  <c r="AA9" i="5"/>
  <c r="O24" i="5" s="1"/>
  <c r="AC10" i="5"/>
  <c r="Z9" i="5"/>
  <c r="N25" i="5" s="1"/>
  <c r="Y9" i="5"/>
  <c r="N24" i="5" s="1"/>
  <c r="C9" i="5"/>
  <c r="C24" i="5" s="1"/>
  <c r="D9" i="5"/>
  <c r="C25" i="5" s="1"/>
  <c r="W9" i="5"/>
  <c r="M24" i="5" s="1"/>
  <c r="X9" i="5"/>
  <c r="M25" i="5" s="1"/>
  <c r="G9" i="5"/>
  <c r="E24" i="5" s="1"/>
  <c r="AI9" i="5"/>
  <c r="S24" i="5" s="1"/>
  <c r="H9" i="5"/>
  <c r="E25" i="5" s="1"/>
  <c r="AJ9" i="5"/>
  <c r="S25" i="5" s="1"/>
  <c r="K9" i="5"/>
  <c r="G24" i="5" s="1"/>
  <c r="L9" i="5"/>
  <c r="G25" i="5" s="1"/>
  <c r="O9" i="5"/>
  <c r="I24" i="5" s="1"/>
  <c r="P9" i="5"/>
  <c r="I25" i="5" s="1"/>
  <c r="S9" i="5"/>
  <c r="K24" i="5" s="1"/>
  <c r="T9" i="5"/>
  <c r="K25" i="5" s="1"/>
  <c r="I9" i="5"/>
  <c r="F24" i="5" s="1"/>
  <c r="U9" i="5"/>
  <c r="L24" i="5" s="1"/>
  <c r="N10" i="5"/>
  <c r="J9" i="5"/>
  <c r="F25" i="5" s="1"/>
  <c r="V9" i="5"/>
  <c r="L25" i="5" s="1"/>
  <c r="F10" i="5"/>
  <c r="R10" i="5"/>
  <c r="AH10" i="5"/>
  <c r="M9" i="5"/>
  <c r="H24" i="5" s="1"/>
  <c r="Q10" i="5"/>
  <c r="E10" i="5"/>
  <c r="AG10" i="5"/>
</calcChain>
</file>

<file path=xl/sharedStrings.xml><?xml version="1.0" encoding="utf-8"?>
<sst xmlns="http://schemas.openxmlformats.org/spreadsheetml/2006/main" count="744" uniqueCount="90">
  <si>
    <t>Thread Count</t>
  </si>
  <si>
    <t>Baseline</t>
  </si>
  <si>
    <t>L1</t>
  </si>
  <si>
    <t>Total accesses</t>
  </si>
  <si>
    <t>DRAM</t>
  </si>
  <si>
    <t>K</t>
  </si>
  <si>
    <t>M</t>
  </si>
  <si>
    <t>Density (%)</t>
  </si>
  <si>
    <t>Cache Efficiency</t>
  </si>
  <si>
    <t>Cold-Miss</t>
  </si>
  <si>
    <t>L1 Hit-rate</t>
  </si>
  <si>
    <t>L1 Miss-Rate</t>
  </si>
  <si>
    <t>Page Size</t>
  </si>
  <si>
    <t>CacheBandit</t>
  </si>
  <si>
    <t>bcsstk10</t>
  </si>
  <si>
    <t>bcsstk13</t>
  </si>
  <si>
    <t>bcsstk17</t>
  </si>
  <si>
    <t>c8_mat11</t>
  </si>
  <si>
    <t>cq9</t>
  </si>
  <si>
    <t>fv1</t>
  </si>
  <si>
    <t>kl02</t>
  </si>
  <si>
    <t>lhr34c</t>
  </si>
  <si>
    <t>SIMT</t>
  </si>
  <si>
    <t>pdb1HYS</t>
  </si>
  <si>
    <t>psmigr_1</t>
  </si>
  <si>
    <t>Framework</t>
  </si>
  <si>
    <t>Matrix Name</t>
  </si>
  <si>
    <t>Problem Kind</t>
  </si>
  <si>
    <t>Structural</t>
  </si>
  <si>
    <t>CFD</t>
  </si>
  <si>
    <t>Combinatorial</t>
  </si>
  <si>
    <t>Linear Programming</t>
  </si>
  <si>
    <t>2D/3D</t>
  </si>
  <si>
    <t>Chemical Process Simulation</t>
  </si>
  <si>
    <t>Weighted Undirected Graph</t>
  </si>
  <si>
    <t>Economic</t>
  </si>
  <si>
    <t>Directed Graph</t>
  </si>
  <si>
    <t>wiki-Vote</t>
  </si>
  <si>
    <t>amazon0312</t>
  </si>
  <si>
    <t>as-735</t>
  </si>
  <si>
    <t>ca-HepTh</t>
  </si>
  <si>
    <t>p2p-Gnutella04</t>
  </si>
  <si>
    <t>Undirected Graph</t>
  </si>
  <si>
    <t>Undirected Graph Sequence</t>
  </si>
  <si>
    <t>X</t>
  </si>
  <si>
    <t>Dense</t>
  </si>
  <si>
    <t>KM_2000</t>
  </si>
  <si>
    <t>KM_3000</t>
  </si>
  <si>
    <t>KM_4000</t>
  </si>
  <si>
    <t>KM_5000</t>
  </si>
  <si>
    <t>Baseline Hit-Rate</t>
  </si>
  <si>
    <t>CacheBandit Hit-Rate</t>
  </si>
  <si>
    <t>DRAM Access Reduction</t>
  </si>
  <si>
    <t>STATIC: SINGLE-WARP Virtual Sets</t>
  </si>
  <si>
    <t>DYNAMIC: SINGLE-WARP Virtual Sets</t>
  </si>
  <si>
    <t>STATIC: MULTI-WARP Virtual Sets</t>
  </si>
  <si>
    <t>Warps</t>
  </si>
  <si>
    <t>x</t>
  </si>
  <si>
    <t>Cache Segment Size (per warp)</t>
  </si>
  <si>
    <t>L1+L2</t>
  </si>
  <si>
    <t>L1+L2 Hit-rate</t>
  </si>
  <si>
    <t>L1+L2 Miss-Rate</t>
  </si>
  <si>
    <t>Baseline Cache Efficiency</t>
  </si>
  <si>
    <t>CacheBandit Cache Efficiency</t>
  </si>
  <si>
    <t>DYNAMIC: MULTI-WARP Virtual Sets</t>
  </si>
  <si>
    <t>airfoil1</t>
  </si>
  <si>
    <t>2D/3D problem</t>
  </si>
  <si>
    <t>diag</t>
  </si>
  <si>
    <t>shock-9</t>
  </si>
  <si>
    <t>DYNAMIC: MULTI-WARP Virtual Sets | Diagonal Matrix Study</t>
  </si>
  <si>
    <t>Chem97ZtZ</t>
  </si>
  <si>
    <t>Statistical/Mathematical</t>
  </si>
  <si>
    <t>crack</t>
  </si>
  <si>
    <t>big_dual</t>
  </si>
  <si>
    <t>Remarks:</t>
  </si>
  <si>
    <t>sinc15</t>
  </si>
  <si>
    <t>Materials</t>
  </si>
  <si>
    <t>Weighted Pearson Correlation</t>
  </si>
  <si>
    <t>Diagonal matrices, i.e., matrices which exhibit strong (weighted) pearson corelation between its x (rows) and y (cols) values. Exhibit 0 or in certain cases negative DRAM access reduction as shown below</t>
  </si>
  <si>
    <t>Correlation positive lim</t>
  </si>
  <si>
    <t>Avg.64</t>
  </si>
  <si>
    <t>Avg.128</t>
  </si>
  <si>
    <t>Avg.256</t>
  </si>
  <si>
    <t>Avg.512</t>
  </si>
  <si>
    <t>Avg.1024</t>
  </si>
  <si>
    <t>Avg.2048</t>
  </si>
  <si>
    <t>Total Average</t>
  </si>
  <si>
    <t>Sets</t>
  </si>
  <si>
    <t>Pages</t>
  </si>
  <si>
    <t>Assoc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</si>
</sst>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1" fontId="0" fillId="0" borderId="0" xfId="0" applyNumberFormat="1"/>
    <xf numFmtId="0" fontId="0" fillId="0" borderId="0" xfId="0" applyAlignment="1">
      <alignment horizontal="center"/>
    </xf>
    <xf numFmtId="0" fontId="0" fillId="5" borderId="0" xfId="0" applyFill="1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6D6D"/>
      <color rgb="FFFF4F4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1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.xml"/></Relationships>
</file>

<file path=xl/charts/_rels/chart1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3.xml"/></Relationships>
</file>

<file path=xl/charts/_rels/chart14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Sheet5!$B$26</c:f>
              <c:strCache>
                <c:ptCount val="1"/>
                <c:pt idx="0">
                  <c:v>DRAM Access Reduction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Sheet5!$C$23:$U$23</c:f>
              <c:strCache>
                <c:ptCount val="19"/>
                <c:pt idx="0">
                  <c:v>bcsstk10</c:v>
                </c:pt>
                <c:pt idx="1">
                  <c:v>bcsstk13</c:v>
                </c:pt>
                <c:pt idx="2">
                  <c:v>bcsstk17</c:v>
                </c:pt>
                <c:pt idx="3">
                  <c:v>c8_mat11</c:v>
                </c:pt>
                <c:pt idx="4">
                  <c:v>cq9</c:v>
                </c:pt>
                <c:pt idx="5">
                  <c:v>fv1</c:v>
                </c:pt>
                <c:pt idx="6">
                  <c:v>kl02</c:v>
                </c:pt>
                <c:pt idx="7">
                  <c:v>lhr34c</c:v>
                </c:pt>
                <c:pt idx="8">
                  <c:v>pdb1HYS</c:v>
                </c:pt>
                <c:pt idx="9">
                  <c:v>psmigr_1</c:v>
                </c:pt>
                <c:pt idx="10">
                  <c:v>wiki-Vote</c:v>
                </c:pt>
                <c:pt idx="11">
                  <c:v>p2p-Gnutella04</c:v>
                </c:pt>
                <c:pt idx="12">
                  <c:v>ca-HepTh</c:v>
                </c:pt>
                <c:pt idx="13">
                  <c:v>as-735</c:v>
                </c:pt>
                <c:pt idx="14">
                  <c:v>amazon0312</c:v>
                </c:pt>
                <c:pt idx="15">
                  <c:v>KM_2000</c:v>
                </c:pt>
                <c:pt idx="16">
                  <c:v>KM_3000</c:v>
                </c:pt>
                <c:pt idx="17">
                  <c:v>KM_4000</c:v>
                </c:pt>
                <c:pt idx="18">
                  <c:v>KM_5000</c:v>
                </c:pt>
              </c:strCache>
            </c:strRef>
          </c:cat>
          <c:val>
            <c:numRef>
              <c:f>Sheet5!$C$26:$U$26</c:f>
              <c:numCache>
                <c:formatCode>General</c:formatCode>
                <c:ptCount val="19"/>
                <c:pt idx="0">
                  <c:v>0</c:v>
                </c:pt>
                <c:pt idx="1">
                  <c:v>9.3525179856115113</c:v>
                </c:pt>
                <c:pt idx="2">
                  <c:v>-5.3935860058309038</c:v>
                </c:pt>
                <c:pt idx="3">
                  <c:v>19.656380897514371</c:v>
                </c:pt>
                <c:pt idx="4">
                  <c:v>11.82524735404122</c:v>
                </c:pt>
                <c:pt idx="5">
                  <c:v>0</c:v>
                </c:pt>
                <c:pt idx="6">
                  <c:v>0.63412915639142575</c:v>
                </c:pt>
                <c:pt idx="7">
                  <c:v>-0.18573551263001484</c:v>
                </c:pt>
                <c:pt idx="8">
                  <c:v>-9.433962264150944</c:v>
                </c:pt>
                <c:pt idx="9">
                  <c:v>13.120372428152013</c:v>
                </c:pt>
                <c:pt idx="10">
                  <c:v>-1.6145379121785657</c:v>
                </c:pt>
                <c:pt idx="11">
                  <c:v>-2.8484910695955659</c:v>
                </c:pt>
                <c:pt idx="12">
                  <c:v>-0.74905396298792182</c:v>
                </c:pt>
                <c:pt idx="13">
                  <c:v>-8.3758556316116994</c:v>
                </c:pt>
                <c:pt idx="14">
                  <c:v>-0.51883259049975372</c:v>
                </c:pt>
                <c:pt idx="15">
                  <c:v>0</c:v>
                </c:pt>
                <c:pt idx="16">
                  <c:v>28.60868794326241</c:v>
                </c:pt>
                <c:pt idx="17">
                  <c:v>11.378499999999999</c:v>
                </c:pt>
                <c:pt idx="18">
                  <c:v>10.193482428115017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780-4469-A9A7-93D3AEF2F47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83783295"/>
        <c:axId val="383790975"/>
      </c:barChart>
      <c:catAx>
        <c:axId val="38378329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Matrix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3790975"/>
        <c:crosses val="autoZero"/>
        <c:auto val="1"/>
        <c:lblAlgn val="ctr"/>
        <c:lblOffset val="100"/>
        <c:noMultiLvlLbl val="0"/>
      </c:catAx>
      <c:valAx>
        <c:axId val="383790975"/>
        <c:scaling>
          <c:orientation val="minMax"/>
          <c:max val="4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Reduction</a:t>
                </a:r>
                <a:r>
                  <a:rPr lang="en-US" baseline="0"/>
                  <a:t> (%)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3783295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Cache</a:t>
            </a:r>
            <a:r>
              <a:rPr lang="en-US" baseline="0"/>
              <a:t> Hit-Rate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Sheet5!$B$24</c:f>
              <c:strCache>
                <c:ptCount val="1"/>
                <c:pt idx="0">
                  <c:v>Baseline Hit-Rate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cat>
            <c:strRef>
              <c:f>Sheet5!$C$23:$U$23</c:f>
              <c:strCache>
                <c:ptCount val="19"/>
                <c:pt idx="0">
                  <c:v>bcsstk10</c:v>
                </c:pt>
                <c:pt idx="1">
                  <c:v>bcsstk13</c:v>
                </c:pt>
                <c:pt idx="2">
                  <c:v>bcsstk17</c:v>
                </c:pt>
                <c:pt idx="3">
                  <c:v>c8_mat11</c:v>
                </c:pt>
                <c:pt idx="4">
                  <c:v>cq9</c:v>
                </c:pt>
                <c:pt idx="5">
                  <c:v>fv1</c:v>
                </c:pt>
                <c:pt idx="6">
                  <c:v>kl02</c:v>
                </c:pt>
                <c:pt idx="7">
                  <c:v>lhr34c</c:v>
                </c:pt>
                <c:pt idx="8">
                  <c:v>pdb1HYS</c:v>
                </c:pt>
                <c:pt idx="9">
                  <c:v>psmigr_1</c:v>
                </c:pt>
                <c:pt idx="10">
                  <c:v>wiki-Vote</c:v>
                </c:pt>
                <c:pt idx="11">
                  <c:v>p2p-Gnutella04</c:v>
                </c:pt>
                <c:pt idx="12">
                  <c:v>ca-HepTh</c:v>
                </c:pt>
                <c:pt idx="13">
                  <c:v>as-735</c:v>
                </c:pt>
                <c:pt idx="14">
                  <c:v>amazon0312</c:v>
                </c:pt>
                <c:pt idx="15">
                  <c:v>KM_2000</c:v>
                </c:pt>
                <c:pt idx="16">
                  <c:v>KM_3000</c:v>
                </c:pt>
                <c:pt idx="17">
                  <c:v>KM_4000</c:v>
                </c:pt>
                <c:pt idx="18">
                  <c:v>KM_5000</c:v>
                </c:pt>
              </c:strCache>
            </c:strRef>
          </c:cat>
          <c:val>
            <c:numRef>
              <c:f>Sheet5!$C$24:$U$24</c:f>
              <c:numCache>
                <c:formatCode>General</c:formatCode>
                <c:ptCount val="19"/>
                <c:pt idx="0">
                  <c:v>99.691889442682367</c:v>
                </c:pt>
                <c:pt idx="1">
                  <c:v>99.834293003349899</c:v>
                </c:pt>
                <c:pt idx="2">
                  <c:v>99.839962673509859</c:v>
                </c:pt>
                <c:pt idx="3">
                  <c:v>93.234265947210076</c:v>
                </c:pt>
                <c:pt idx="4">
                  <c:v>60.995520056283816</c:v>
                </c:pt>
                <c:pt idx="5">
                  <c:v>99.295130418465007</c:v>
                </c:pt>
                <c:pt idx="6">
                  <c:v>82.637764896299927</c:v>
                </c:pt>
                <c:pt idx="7">
                  <c:v>99.647650435724998</c:v>
                </c:pt>
                <c:pt idx="8">
                  <c:v>99.858496374372379</c:v>
                </c:pt>
                <c:pt idx="9">
                  <c:v>84.260070697400408</c:v>
                </c:pt>
                <c:pt idx="10">
                  <c:v>59.08244847573031</c:v>
                </c:pt>
                <c:pt idx="11">
                  <c:v>51.282692403860572</c:v>
                </c:pt>
                <c:pt idx="12">
                  <c:v>25.762444440168558</c:v>
                </c:pt>
                <c:pt idx="13">
                  <c:v>69.641440284127412</c:v>
                </c:pt>
                <c:pt idx="14">
                  <c:v>52.490001374810966</c:v>
                </c:pt>
                <c:pt idx="15">
                  <c:v>99.996875000000003</c:v>
                </c:pt>
                <c:pt idx="16">
                  <c:v>93.733333333333334</c:v>
                </c:pt>
                <c:pt idx="17">
                  <c:v>93.75</c:v>
                </c:pt>
                <c:pt idx="18">
                  <c:v>93.74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859-4BCE-84D6-DDE5CCD10239}"/>
            </c:ext>
          </c:extLst>
        </c:ser>
        <c:ser>
          <c:idx val="1"/>
          <c:order val="1"/>
          <c:tx>
            <c:strRef>
              <c:f>Sheet5!$B$25</c:f>
              <c:strCache>
                <c:ptCount val="1"/>
                <c:pt idx="0">
                  <c:v>CacheBandit Hit-Rate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elete val="1"/>
          </c:dLbls>
          <c:cat>
            <c:strRef>
              <c:f>Sheet5!$C$23:$U$23</c:f>
              <c:strCache>
                <c:ptCount val="19"/>
                <c:pt idx="0">
                  <c:v>bcsstk10</c:v>
                </c:pt>
                <c:pt idx="1">
                  <c:v>bcsstk13</c:v>
                </c:pt>
                <c:pt idx="2">
                  <c:v>bcsstk17</c:v>
                </c:pt>
                <c:pt idx="3">
                  <c:v>c8_mat11</c:v>
                </c:pt>
                <c:pt idx="4">
                  <c:v>cq9</c:v>
                </c:pt>
                <c:pt idx="5">
                  <c:v>fv1</c:v>
                </c:pt>
                <c:pt idx="6">
                  <c:v>kl02</c:v>
                </c:pt>
                <c:pt idx="7">
                  <c:v>lhr34c</c:v>
                </c:pt>
                <c:pt idx="8">
                  <c:v>pdb1HYS</c:v>
                </c:pt>
                <c:pt idx="9">
                  <c:v>psmigr_1</c:v>
                </c:pt>
                <c:pt idx="10">
                  <c:v>wiki-Vote</c:v>
                </c:pt>
                <c:pt idx="11">
                  <c:v>p2p-Gnutella04</c:v>
                </c:pt>
                <c:pt idx="12">
                  <c:v>ca-HepTh</c:v>
                </c:pt>
                <c:pt idx="13">
                  <c:v>as-735</c:v>
                </c:pt>
                <c:pt idx="14">
                  <c:v>amazon0312</c:v>
                </c:pt>
                <c:pt idx="15">
                  <c:v>KM_2000</c:v>
                </c:pt>
                <c:pt idx="16">
                  <c:v>KM_3000</c:v>
                </c:pt>
                <c:pt idx="17">
                  <c:v>KM_4000</c:v>
                </c:pt>
                <c:pt idx="18">
                  <c:v>KM_5000</c:v>
                </c:pt>
              </c:strCache>
            </c:strRef>
          </c:cat>
          <c:val>
            <c:numRef>
              <c:f>Sheet5!$C$25:$U$25</c:f>
              <c:numCache>
                <c:formatCode>General</c:formatCode>
                <c:ptCount val="19"/>
                <c:pt idx="0">
                  <c:v>99.691889442682367</c:v>
                </c:pt>
                <c:pt idx="1">
                  <c:v>99.849790780015027</c:v>
                </c:pt>
                <c:pt idx="2">
                  <c:v>99.831330922664179</c:v>
                </c:pt>
                <c:pt idx="3">
                  <c:v>94.564164403139301</c:v>
                </c:pt>
                <c:pt idx="4">
                  <c:v>65.607896288785668</c:v>
                </c:pt>
                <c:pt idx="5">
                  <c:v>99.295130418465007</c:v>
                </c:pt>
                <c:pt idx="6">
                  <c:v>82.747863891293704</c:v>
                </c:pt>
                <c:pt idx="7">
                  <c:v>99.646995997455548</c:v>
                </c:pt>
                <c:pt idx="8">
                  <c:v>99.845146975728255</c:v>
                </c:pt>
                <c:pt idx="9">
                  <c:v>86.325208041829299</c:v>
                </c:pt>
                <c:pt idx="10">
                  <c:v>58.421819093635776</c:v>
                </c:pt>
                <c:pt idx="11">
                  <c:v>49.894984247637147</c:v>
                </c:pt>
                <c:pt idx="12">
                  <c:v>25.206365088222277</c:v>
                </c:pt>
                <c:pt idx="13">
                  <c:v>67.098651150489289</c:v>
                </c:pt>
                <c:pt idx="14">
                  <c:v>52.243504018197498</c:v>
                </c:pt>
                <c:pt idx="15">
                  <c:v>99.996875000000003</c:v>
                </c:pt>
                <c:pt idx="16">
                  <c:v>95.526144444444455</c:v>
                </c:pt>
                <c:pt idx="17">
                  <c:v>94.461156250000002</c:v>
                </c:pt>
                <c:pt idx="18">
                  <c:v>94.378112000000002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859-4BCE-84D6-DDE5CCD10239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383804895"/>
        <c:axId val="383797695"/>
      </c:lineChart>
      <c:catAx>
        <c:axId val="38380489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Matrix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3797695"/>
        <c:crosses val="autoZero"/>
        <c:auto val="1"/>
        <c:lblAlgn val="ctr"/>
        <c:lblOffset val="100"/>
        <c:noMultiLvlLbl val="0"/>
      </c:catAx>
      <c:valAx>
        <c:axId val="383797695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Hit-Rate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3804895"/>
        <c:crosses val="autoZero"/>
        <c:crossBetween val="between"/>
        <c:min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Sheet5!$B$87</c:f>
              <c:strCache>
                <c:ptCount val="1"/>
                <c:pt idx="0">
                  <c:v>DRAM Access Reduction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Sheet5!$C$84:$U$84</c:f>
              <c:strCache>
                <c:ptCount val="19"/>
                <c:pt idx="0">
                  <c:v>bcsstk10</c:v>
                </c:pt>
                <c:pt idx="1">
                  <c:v>bcsstk13</c:v>
                </c:pt>
                <c:pt idx="2">
                  <c:v>bcsstk17</c:v>
                </c:pt>
                <c:pt idx="3">
                  <c:v>c8_mat11</c:v>
                </c:pt>
                <c:pt idx="4">
                  <c:v>cq9</c:v>
                </c:pt>
                <c:pt idx="5">
                  <c:v>fv1</c:v>
                </c:pt>
                <c:pt idx="6">
                  <c:v>kl02</c:v>
                </c:pt>
                <c:pt idx="7">
                  <c:v>lhr34c</c:v>
                </c:pt>
                <c:pt idx="8">
                  <c:v>pdb1HYS</c:v>
                </c:pt>
                <c:pt idx="9">
                  <c:v>psmigr_1</c:v>
                </c:pt>
                <c:pt idx="10">
                  <c:v>wiki-Vote</c:v>
                </c:pt>
                <c:pt idx="11">
                  <c:v>p2p-Gnutella04</c:v>
                </c:pt>
                <c:pt idx="12">
                  <c:v>ca-HepTh</c:v>
                </c:pt>
                <c:pt idx="13">
                  <c:v>as-735</c:v>
                </c:pt>
                <c:pt idx="14">
                  <c:v>amazon0312</c:v>
                </c:pt>
                <c:pt idx="15">
                  <c:v>KM_2000</c:v>
                </c:pt>
                <c:pt idx="16">
                  <c:v>KM_3000</c:v>
                </c:pt>
                <c:pt idx="17">
                  <c:v>KM_4000</c:v>
                </c:pt>
                <c:pt idx="18">
                  <c:v>KM_5000</c:v>
                </c:pt>
              </c:strCache>
            </c:strRef>
          </c:cat>
          <c:val>
            <c:numRef>
              <c:f>Sheet5!$C$87:$U$87</c:f>
              <c:numCache>
                <c:formatCode>General</c:formatCode>
                <c:ptCount val="19"/>
                <c:pt idx="0">
                  <c:v>0</c:v>
                </c:pt>
                <c:pt idx="1">
                  <c:v>9.3525179856115113</c:v>
                </c:pt>
                <c:pt idx="2">
                  <c:v>0</c:v>
                </c:pt>
                <c:pt idx="3">
                  <c:v>20.224078541509137</c:v>
                </c:pt>
                <c:pt idx="4">
                  <c:v>12.806705748163081</c:v>
                </c:pt>
                <c:pt idx="5">
                  <c:v>0</c:v>
                </c:pt>
                <c:pt idx="6">
                  <c:v>0.67477846128831198</c:v>
                </c:pt>
                <c:pt idx="7">
                  <c:v>0</c:v>
                </c:pt>
                <c:pt idx="8">
                  <c:v>0</c:v>
                </c:pt>
                <c:pt idx="9">
                  <c:v>13.76486963844993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40.313652482269504</c:v>
                </c:pt>
                <c:pt idx="17">
                  <c:v>19.069800000000001</c:v>
                </c:pt>
                <c:pt idx="18">
                  <c:v>10.153418530351438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7F-4773-A197-C875A1E3946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16096159"/>
        <c:axId val="1316102879"/>
      </c:barChart>
      <c:catAx>
        <c:axId val="131609615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Matrix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6102879"/>
        <c:crosses val="autoZero"/>
        <c:auto val="1"/>
        <c:lblAlgn val="ctr"/>
        <c:lblOffset val="100"/>
        <c:noMultiLvlLbl val="0"/>
      </c:catAx>
      <c:valAx>
        <c:axId val="1316102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Reduction</a:t>
                </a:r>
                <a:r>
                  <a:rPr lang="en-US" baseline="0"/>
                  <a:t> (%)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60961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Cache</a:t>
            </a:r>
            <a:r>
              <a:rPr lang="en-US" baseline="0"/>
              <a:t> Hit-Rate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Sheet5!$B$85</c:f>
              <c:strCache>
                <c:ptCount val="1"/>
                <c:pt idx="0">
                  <c:v>Baseline Hit-Rate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Sheet5!$C$84:$U$84</c:f>
              <c:strCache>
                <c:ptCount val="19"/>
                <c:pt idx="0">
                  <c:v>bcsstk10</c:v>
                </c:pt>
                <c:pt idx="1">
                  <c:v>bcsstk13</c:v>
                </c:pt>
                <c:pt idx="2">
                  <c:v>bcsstk17</c:v>
                </c:pt>
                <c:pt idx="3">
                  <c:v>c8_mat11</c:v>
                </c:pt>
                <c:pt idx="4">
                  <c:v>cq9</c:v>
                </c:pt>
                <c:pt idx="5">
                  <c:v>fv1</c:v>
                </c:pt>
                <c:pt idx="6">
                  <c:v>kl02</c:v>
                </c:pt>
                <c:pt idx="7">
                  <c:v>lhr34c</c:v>
                </c:pt>
                <c:pt idx="8">
                  <c:v>pdb1HYS</c:v>
                </c:pt>
                <c:pt idx="9">
                  <c:v>psmigr_1</c:v>
                </c:pt>
                <c:pt idx="10">
                  <c:v>wiki-Vote</c:v>
                </c:pt>
                <c:pt idx="11">
                  <c:v>p2p-Gnutella04</c:v>
                </c:pt>
                <c:pt idx="12">
                  <c:v>ca-HepTh</c:v>
                </c:pt>
                <c:pt idx="13">
                  <c:v>as-735</c:v>
                </c:pt>
                <c:pt idx="14">
                  <c:v>amazon0312</c:v>
                </c:pt>
                <c:pt idx="15">
                  <c:v>KM_2000</c:v>
                </c:pt>
                <c:pt idx="16">
                  <c:v>KM_3000</c:v>
                </c:pt>
                <c:pt idx="17">
                  <c:v>KM_4000</c:v>
                </c:pt>
                <c:pt idx="18">
                  <c:v>KM_5000</c:v>
                </c:pt>
              </c:strCache>
            </c:strRef>
          </c:cat>
          <c:val>
            <c:numRef>
              <c:f>Sheet5!$C$85:$U$85</c:f>
              <c:numCache>
                <c:formatCode>General</c:formatCode>
                <c:ptCount val="19"/>
                <c:pt idx="0">
                  <c:v>99.691889442682367</c:v>
                </c:pt>
                <c:pt idx="1">
                  <c:v>99.834293003349899</c:v>
                </c:pt>
                <c:pt idx="2">
                  <c:v>99.839962673509859</c:v>
                </c:pt>
                <c:pt idx="3">
                  <c:v>93.234265947210076</c:v>
                </c:pt>
                <c:pt idx="4">
                  <c:v>60.995520056283816</c:v>
                </c:pt>
                <c:pt idx="5">
                  <c:v>99.295130418465007</c:v>
                </c:pt>
                <c:pt idx="6">
                  <c:v>82.637764896299927</c:v>
                </c:pt>
                <c:pt idx="7">
                  <c:v>99.647650435724998</c:v>
                </c:pt>
                <c:pt idx="8">
                  <c:v>99.858496374372379</c:v>
                </c:pt>
                <c:pt idx="9">
                  <c:v>84.260070697400408</c:v>
                </c:pt>
                <c:pt idx="10">
                  <c:v>59.08244847573031</c:v>
                </c:pt>
                <c:pt idx="11">
                  <c:v>51.282692403860572</c:v>
                </c:pt>
                <c:pt idx="12">
                  <c:v>25.762444440168558</c:v>
                </c:pt>
                <c:pt idx="13">
                  <c:v>69.641440284127412</c:v>
                </c:pt>
                <c:pt idx="14">
                  <c:v>52.490001374810966</c:v>
                </c:pt>
                <c:pt idx="15">
                  <c:v>99.996875000000003</c:v>
                </c:pt>
                <c:pt idx="16">
                  <c:v>93.733333333333334</c:v>
                </c:pt>
                <c:pt idx="17">
                  <c:v>93.75</c:v>
                </c:pt>
                <c:pt idx="18">
                  <c:v>93.74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FE5-4CE0-9FD9-4DFC92D97CD9}"/>
            </c:ext>
          </c:extLst>
        </c:ser>
        <c:ser>
          <c:idx val="1"/>
          <c:order val="1"/>
          <c:tx>
            <c:strRef>
              <c:f>Sheet5!$B$86</c:f>
              <c:strCache>
                <c:ptCount val="1"/>
                <c:pt idx="0">
                  <c:v>CacheBandit Hit-Rate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Sheet5!$C$84:$U$84</c:f>
              <c:strCache>
                <c:ptCount val="19"/>
                <c:pt idx="0">
                  <c:v>bcsstk10</c:v>
                </c:pt>
                <c:pt idx="1">
                  <c:v>bcsstk13</c:v>
                </c:pt>
                <c:pt idx="2">
                  <c:v>bcsstk17</c:v>
                </c:pt>
                <c:pt idx="3">
                  <c:v>c8_mat11</c:v>
                </c:pt>
                <c:pt idx="4">
                  <c:v>cq9</c:v>
                </c:pt>
                <c:pt idx="5">
                  <c:v>fv1</c:v>
                </c:pt>
                <c:pt idx="6">
                  <c:v>kl02</c:v>
                </c:pt>
                <c:pt idx="7">
                  <c:v>lhr34c</c:v>
                </c:pt>
                <c:pt idx="8">
                  <c:v>pdb1HYS</c:v>
                </c:pt>
                <c:pt idx="9">
                  <c:v>psmigr_1</c:v>
                </c:pt>
                <c:pt idx="10">
                  <c:v>wiki-Vote</c:v>
                </c:pt>
                <c:pt idx="11">
                  <c:v>p2p-Gnutella04</c:v>
                </c:pt>
                <c:pt idx="12">
                  <c:v>ca-HepTh</c:v>
                </c:pt>
                <c:pt idx="13">
                  <c:v>as-735</c:v>
                </c:pt>
                <c:pt idx="14">
                  <c:v>amazon0312</c:v>
                </c:pt>
                <c:pt idx="15">
                  <c:v>KM_2000</c:v>
                </c:pt>
                <c:pt idx="16">
                  <c:v>KM_3000</c:v>
                </c:pt>
                <c:pt idx="17">
                  <c:v>KM_4000</c:v>
                </c:pt>
                <c:pt idx="18">
                  <c:v>KM_5000</c:v>
                </c:pt>
              </c:strCache>
            </c:strRef>
          </c:cat>
          <c:val>
            <c:numRef>
              <c:f>Sheet5!$C$86:$U$86</c:f>
              <c:numCache>
                <c:formatCode>General</c:formatCode>
                <c:ptCount val="19"/>
                <c:pt idx="0">
                  <c:v>99.691889442682367</c:v>
                </c:pt>
                <c:pt idx="1">
                  <c:v>99.849790780015027</c:v>
                </c:pt>
                <c:pt idx="2">
                  <c:v>99.839962673509859</c:v>
                </c:pt>
                <c:pt idx="3">
                  <c:v>94.602573315955937</c:v>
                </c:pt>
                <c:pt idx="4">
                  <c:v>65.990709031276836</c:v>
                </c:pt>
                <c:pt idx="5">
                  <c:v>99.295130418465007</c:v>
                </c:pt>
                <c:pt idx="6">
                  <c:v>82.754921519177927</c:v>
                </c:pt>
                <c:pt idx="7">
                  <c:v>99.647650435724998</c:v>
                </c:pt>
                <c:pt idx="8">
                  <c:v>99.858496374372379</c:v>
                </c:pt>
                <c:pt idx="9">
                  <c:v>86.426651447087409</c:v>
                </c:pt>
                <c:pt idx="10">
                  <c:v>59.08244847573031</c:v>
                </c:pt>
                <c:pt idx="11">
                  <c:v>51.282692403860572</c:v>
                </c:pt>
                <c:pt idx="12">
                  <c:v>25.762444440168558</c:v>
                </c:pt>
                <c:pt idx="13">
                  <c:v>69.641440284127412</c:v>
                </c:pt>
                <c:pt idx="14">
                  <c:v>52.490001374810966</c:v>
                </c:pt>
                <c:pt idx="15">
                  <c:v>99.996875000000003</c:v>
                </c:pt>
                <c:pt idx="16">
                  <c:v>96.259655555555554</c:v>
                </c:pt>
                <c:pt idx="17">
                  <c:v>94.941862499999999</c:v>
                </c:pt>
                <c:pt idx="18">
                  <c:v>94.375603999999996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FE5-4CE0-9FD9-4DFC92D97C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16118719"/>
        <c:axId val="1316119199"/>
      </c:lineChart>
      <c:catAx>
        <c:axId val="131611871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Matrix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6119199"/>
        <c:crosses val="autoZero"/>
        <c:auto val="1"/>
        <c:lblAlgn val="ctr"/>
        <c:lblOffset val="100"/>
        <c:noMultiLvlLbl val="0"/>
      </c:catAx>
      <c:valAx>
        <c:axId val="1316119199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Hit-Rate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6118719"/>
        <c:crosses val="autoZero"/>
        <c:crossBetween val="between"/>
        <c:min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Sheet1!$F$26</c:f>
              <c:strCache>
                <c:ptCount val="1"/>
                <c:pt idx="0">
                  <c:v>DRAM Access Reduction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Sheet1!$G$23:$V$23</c:f>
              <c:strCache>
                <c:ptCount val="16"/>
                <c:pt idx="0">
                  <c:v>bcsstk10</c:v>
                </c:pt>
                <c:pt idx="1">
                  <c:v>bcsstk13</c:v>
                </c:pt>
                <c:pt idx="2">
                  <c:v>bcsstk17</c:v>
                </c:pt>
                <c:pt idx="3">
                  <c:v>c8_mat11</c:v>
                </c:pt>
                <c:pt idx="4">
                  <c:v>cq9</c:v>
                </c:pt>
                <c:pt idx="5">
                  <c:v>fv1</c:v>
                </c:pt>
                <c:pt idx="6">
                  <c:v>kl02</c:v>
                </c:pt>
                <c:pt idx="7">
                  <c:v>lhr34c</c:v>
                </c:pt>
                <c:pt idx="8">
                  <c:v>pdb1HYS</c:v>
                </c:pt>
                <c:pt idx="9">
                  <c:v>psmigr_1</c:v>
                </c:pt>
                <c:pt idx="10">
                  <c:v>wiki-Vote</c:v>
                </c:pt>
                <c:pt idx="11">
                  <c:v>p2p-Gnutella04</c:v>
                </c:pt>
                <c:pt idx="12">
                  <c:v>ca-HepTh</c:v>
                </c:pt>
                <c:pt idx="13">
                  <c:v>as-735</c:v>
                </c:pt>
                <c:pt idx="14">
                  <c:v>amazon0312</c:v>
                </c:pt>
                <c:pt idx="15">
                  <c:v>sinc15</c:v>
                </c:pt>
              </c:strCache>
            </c:strRef>
          </c:cat>
          <c:val>
            <c:numRef>
              <c:f>Sheet1!$G$26:$V$26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-29.300291545189506</c:v>
                </c:pt>
                <c:pt idx="3">
                  <c:v>97.211229573071364</c:v>
                </c:pt>
                <c:pt idx="4">
                  <c:v>55.297801181242434</c:v>
                </c:pt>
                <c:pt idx="5">
                  <c:v>0</c:v>
                </c:pt>
                <c:pt idx="6">
                  <c:v>1.6418149751483084</c:v>
                </c:pt>
                <c:pt idx="7">
                  <c:v>4.2666666666666666</c:v>
                </c:pt>
                <c:pt idx="8">
                  <c:v>16.729155507945009</c:v>
                </c:pt>
                <c:pt idx="9">
                  <c:v>77.765237020316022</c:v>
                </c:pt>
                <c:pt idx="10">
                  <c:v>94.344547563805108</c:v>
                </c:pt>
                <c:pt idx="11">
                  <c:v>53.928571428571423</c:v>
                </c:pt>
                <c:pt idx="12">
                  <c:v>44.899603787522665</c:v>
                </c:pt>
                <c:pt idx="13">
                  <c:v>85.744109752460488</c:v>
                </c:pt>
                <c:pt idx="14">
                  <c:v>-0.50284463084607511</c:v>
                </c:pt>
                <c:pt idx="15">
                  <c:v>47.625052543085324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AA-43E4-BC3B-B1759801FC3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069589295"/>
        <c:axId val="2069590255"/>
      </c:barChart>
      <c:catAx>
        <c:axId val="206958929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Matrix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9590255"/>
        <c:crosses val="autoZero"/>
        <c:auto val="1"/>
        <c:lblAlgn val="ctr"/>
        <c:lblOffset val="100"/>
        <c:noMultiLvlLbl val="0"/>
      </c:catAx>
      <c:valAx>
        <c:axId val="2069590255"/>
        <c:scaling>
          <c:orientation val="minMax"/>
          <c:max val="100"/>
          <c:min val="-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Reduction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95892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Cache Hit-Rate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Sheet1!$F$24</c:f>
              <c:strCache>
                <c:ptCount val="1"/>
                <c:pt idx="0">
                  <c:v>Baseline Hit-Rate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Sheet1!$G$23:$V$23</c:f>
              <c:strCache>
                <c:ptCount val="16"/>
                <c:pt idx="0">
                  <c:v>bcsstk10</c:v>
                </c:pt>
                <c:pt idx="1">
                  <c:v>bcsstk13</c:v>
                </c:pt>
                <c:pt idx="2">
                  <c:v>bcsstk17</c:v>
                </c:pt>
                <c:pt idx="3">
                  <c:v>c8_mat11</c:v>
                </c:pt>
                <c:pt idx="4">
                  <c:v>cq9</c:v>
                </c:pt>
                <c:pt idx="5">
                  <c:v>fv1</c:v>
                </c:pt>
                <c:pt idx="6">
                  <c:v>kl02</c:v>
                </c:pt>
                <c:pt idx="7">
                  <c:v>lhr34c</c:v>
                </c:pt>
                <c:pt idx="8">
                  <c:v>pdb1HYS</c:v>
                </c:pt>
                <c:pt idx="9">
                  <c:v>psmigr_1</c:v>
                </c:pt>
                <c:pt idx="10">
                  <c:v>wiki-Vote</c:v>
                </c:pt>
                <c:pt idx="11">
                  <c:v>p2p-Gnutella04</c:v>
                </c:pt>
                <c:pt idx="12">
                  <c:v>ca-HepTh</c:v>
                </c:pt>
                <c:pt idx="13">
                  <c:v>as-735</c:v>
                </c:pt>
                <c:pt idx="14">
                  <c:v>amazon0312</c:v>
                </c:pt>
                <c:pt idx="15">
                  <c:v>sinc15</c:v>
                </c:pt>
              </c:strCache>
            </c:strRef>
          </c:cat>
          <c:val>
            <c:numRef>
              <c:f>Sheet1!$G$24:$V$24</c:f>
              <c:numCache>
                <c:formatCode>General</c:formatCode>
                <c:ptCount val="16"/>
                <c:pt idx="0">
                  <c:v>99.691889442682367</c:v>
                </c:pt>
                <c:pt idx="1">
                  <c:v>99.904801480865856</c:v>
                </c:pt>
                <c:pt idx="2">
                  <c:v>99.897115947028212</c:v>
                </c:pt>
                <c:pt idx="3">
                  <c:v>99.249923085599704</c:v>
                </c:pt>
                <c:pt idx="4">
                  <c:v>85.634551495016609</c:v>
                </c:pt>
                <c:pt idx="5">
                  <c:v>99.51951903935786</c:v>
                </c:pt>
                <c:pt idx="6">
                  <c:v>85.452382618431173</c:v>
                </c:pt>
                <c:pt idx="7">
                  <c:v>99.715949054786662</c:v>
                </c:pt>
                <c:pt idx="8">
                  <c:v>99.902192129164362</c:v>
                </c:pt>
                <c:pt idx="9">
                  <c:v>99.882385893741102</c:v>
                </c:pt>
                <c:pt idx="10">
                  <c:v>90.163466750349471</c:v>
                </c:pt>
                <c:pt idx="11">
                  <c:v>84.015603815323132</c:v>
                </c:pt>
                <c:pt idx="12">
                  <c:v>71.354647583871952</c:v>
                </c:pt>
                <c:pt idx="13">
                  <c:v>87.535315985130111</c:v>
                </c:pt>
                <c:pt idx="14">
                  <c:v>46.078210819316226</c:v>
                </c:pt>
                <c:pt idx="15">
                  <c:v>99.60703147712556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C4-42DF-B810-1172D010ED74}"/>
            </c:ext>
          </c:extLst>
        </c:ser>
        <c:ser>
          <c:idx val="1"/>
          <c:order val="1"/>
          <c:tx>
            <c:strRef>
              <c:f>Sheet1!$F$25</c:f>
              <c:strCache>
                <c:ptCount val="1"/>
                <c:pt idx="0">
                  <c:v>CacheBandit Hit-Rate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Sheet1!$G$23:$V$23</c:f>
              <c:strCache>
                <c:ptCount val="16"/>
                <c:pt idx="0">
                  <c:v>bcsstk10</c:v>
                </c:pt>
                <c:pt idx="1">
                  <c:v>bcsstk13</c:v>
                </c:pt>
                <c:pt idx="2">
                  <c:v>bcsstk17</c:v>
                </c:pt>
                <c:pt idx="3">
                  <c:v>c8_mat11</c:v>
                </c:pt>
                <c:pt idx="4">
                  <c:v>cq9</c:v>
                </c:pt>
                <c:pt idx="5">
                  <c:v>fv1</c:v>
                </c:pt>
                <c:pt idx="6">
                  <c:v>kl02</c:v>
                </c:pt>
                <c:pt idx="7">
                  <c:v>lhr34c</c:v>
                </c:pt>
                <c:pt idx="8">
                  <c:v>pdb1HYS</c:v>
                </c:pt>
                <c:pt idx="9">
                  <c:v>psmigr_1</c:v>
                </c:pt>
                <c:pt idx="10">
                  <c:v>wiki-Vote</c:v>
                </c:pt>
                <c:pt idx="11">
                  <c:v>p2p-Gnutella04</c:v>
                </c:pt>
                <c:pt idx="12">
                  <c:v>ca-HepTh</c:v>
                </c:pt>
                <c:pt idx="13">
                  <c:v>as-735</c:v>
                </c:pt>
                <c:pt idx="14">
                  <c:v>amazon0312</c:v>
                </c:pt>
                <c:pt idx="15">
                  <c:v>sinc15</c:v>
                </c:pt>
              </c:strCache>
            </c:strRef>
          </c:cat>
          <c:val>
            <c:numRef>
              <c:f>Sheet1!$G$25:$V$25</c:f>
              <c:numCache>
                <c:formatCode>General</c:formatCode>
                <c:ptCount val="16"/>
                <c:pt idx="0">
                  <c:v>99.691889442682367</c:v>
                </c:pt>
                <c:pt idx="1">
                  <c:v>99.90603115887447</c:v>
                </c:pt>
                <c:pt idx="2">
                  <c:v>99.870745493943105</c:v>
                </c:pt>
                <c:pt idx="3">
                  <c:v>99.985138139627551</c:v>
                </c:pt>
                <c:pt idx="4">
                  <c:v>94.522435170814219</c:v>
                </c:pt>
                <c:pt idx="5">
                  <c:v>99.521092641879292</c:v>
                </c:pt>
                <c:pt idx="6">
                  <c:v>87.260932224155766</c:v>
                </c:pt>
                <c:pt idx="7">
                  <c:v>99.788656941353764</c:v>
                </c:pt>
                <c:pt idx="8">
                  <c:v>99.933753651077183</c:v>
                </c:pt>
                <c:pt idx="9">
                  <c:v>99.974959356620701</c:v>
                </c:pt>
                <c:pt idx="10">
                  <c:v>99.514256771343639</c:v>
                </c:pt>
                <c:pt idx="11">
                  <c:v>93.135559398696287</c:v>
                </c:pt>
                <c:pt idx="12">
                  <c:v>84.433989110432364</c:v>
                </c:pt>
                <c:pt idx="13">
                  <c:v>98.383934005003709</c:v>
                </c:pt>
                <c:pt idx="14">
                  <c:v>49.251804673890618</c:v>
                </c:pt>
                <c:pt idx="15">
                  <c:v>99.821700201624736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9C4-42DF-B810-1172D010ED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578063"/>
        <c:axId val="1931577103"/>
      </c:lineChart>
      <c:catAx>
        <c:axId val="193157806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Matrix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577103"/>
        <c:crosses val="autoZero"/>
        <c:auto val="1"/>
        <c:lblAlgn val="ctr"/>
        <c:lblOffset val="100"/>
        <c:noMultiLvlLbl val="0"/>
      </c:catAx>
      <c:valAx>
        <c:axId val="1931577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Hit-Rate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5780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Cache Efficiency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Sheet1!$F$27</c:f>
              <c:strCache>
                <c:ptCount val="1"/>
                <c:pt idx="0">
                  <c:v>Baseline Cache Efficiency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Sheet1!$G$23:$V$23</c:f>
              <c:strCache>
                <c:ptCount val="16"/>
                <c:pt idx="0">
                  <c:v>bcsstk10</c:v>
                </c:pt>
                <c:pt idx="1">
                  <c:v>bcsstk13</c:v>
                </c:pt>
                <c:pt idx="2">
                  <c:v>bcsstk17</c:v>
                </c:pt>
                <c:pt idx="3">
                  <c:v>c8_mat11</c:v>
                </c:pt>
                <c:pt idx="4">
                  <c:v>cq9</c:v>
                </c:pt>
                <c:pt idx="5">
                  <c:v>fv1</c:v>
                </c:pt>
                <c:pt idx="6">
                  <c:v>kl02</c:v>
                </c:pt>
                <c:pt idx="7">
                  <c:v>lhr34c</c:v>
                </c:pt>
                <c:pt idx="8">
                  <c:v>pdb1HYS</c:v>
                </c:pt>
                <c:pt idx="9">
                  <c:v>psmigr_1</c:v>
                </c:pt>
                <c:pt idx="10">
                  <c:v>wiki-Vote</c:v>
                </c:pt>
                <c:pt idx="11">
                  <c:v>p2p-Gnutella04</c:v>
                </c:pt>
                <c:pt idx="12">
                  <c:v>ca-HepTh</c:v>
                </c:pt>
                <c:pt idx="13">
                  <c:v>as-735</c:v>
                </c:pt>
                <c:pt idx="14">
                  <c:v>amazon0312</c:v>
                </c:pt>
                <c:pt idx="15">
                  <c:v>sinc15</c:v>
                </c:pt>
              </c:strCache>
            </c:strRef>
          </c:cat>
          <c:val>
            <c:numRef>
              <c:f>Sheet1!$G$27:$V$27</c:f>
              <c:numCache>
                <c:formatCode>General</c:formatCode>
                <c:ptCount val="1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1.6807113925229294E-2</c:v>
                </c:pt>
                <c:pt idx="4">
                  <c:v>9.5780260442610121E-2</c:v>
                </c:pt>
                <c:pt idx="5">
                  <c:v>1</c:v>
                </c:pt>
                <c:pt idx="6">
                  <c:v>7.3561006894340225E-2</c:v>
                </c:pt>
                <c:pt idx="7">
                  <c:v>0.836952380952381</c:v>
                </c:pt>
                <c:pt idx="8">
                  <c:v>0.40653454740224959</c:v>
                </c:pt>
                <c:pt idx="9">
                  <c:v>0.22234762979683972</c:v>
                </c:pt>
                <c:pt idx="10">
                  <c:v>4.8917246713070378E-2</c:v>
                </c:pt>
                <c:pt idx="11">
                  <c:v>0.10119047619047619</c:v>
                </c:pt>
                <c:pt idx="12">
                  <c:v>4.150157813444362E-2</c:v>
                </c:pt>
                <c:pt idx="13">
                  <c:v>0.14255890247539516</c:v>
                </c:pt>
                <c:pt idx="14">
                  <c:v>0</c:v>
                </c:pt>
                <c:pt idx="15">
                  <c:v>0.3030685161832703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BB-4746-AA64-BFA97CA8B8D0}"/>
            </c:ext>
          </c:extLst>
        </c:ser>
        <c:ser>
          <c:idx val="1"/>
          <c:order val="1"/>
          <c:tx>
            <c:strRef>
              <c:f>Sheet1!$F$28</c:f>
              <c:strCache>
                <c:ptCount val="1"/>
                <c:pt idx="0">
                  <c:v>CacheBandit Cache Efficiency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Sheet1!$G$23:$V$23</c:f>
              <c:strCache>
                <c:ptCount val="16"/>
                <c:pt idx="0">
                  <c:v>bcsstk10</c:v>
                </c:pt>
                <c:pt idx="1">
                  <c:v>bcsstk13</c:v>
                </c:pt>
                <c:pt idx="2">
                  <c:v>bcsstk17</c:v>
                </c:pt>
                <c:pt idx="3">
                  <c:v>c8_mat11</c:v>
                </c:pt>
                <c:pt idx="4">
                  <c:v>cq9</c:v>
                </c:pt>
                <c:pt idx="5">
                  <c:v>fv1</c:v>
                </c:pt>
                <c:pt idx="6">
                  <c:v>kl02</c:v>
                </c:pt>
                <c:pt idx="7">
                  <c:v>lhr34c</c:v>
                </c:pt>
                <c:pt idx="8">
                  <c:v>pdb1HYS</c:v>
                </c:pt>
                <c:pt idx="9">
                  <c:v>psmigr_1</c:v>
                </c:pt>
                <c:pt idx="10">
                  <c:v>wiki-Vote</c:v>
                </c:pt>
                <c:pt idx="11">
                  <c:v>p2p-Gnutella04</c:v>
                </c:pt>
                <c:pt idx="12">
                  <c:v>ca-HepTh</c:v>
                </c:pt>
                <c:pt idx="13">
                  <c:v>as-735</c:v>
                </c:pt>
                <c:pt idx="14">
                  <c:v>amazon0312</c:v>
                </c:pt>
                <c:pt idx="15">
                  <c:v>sinc15</c:v>
                </c:pt>
              </c:strCache>
            </c:strRef>
          </c:cat>
          <c:val>
            <c:numRef>
              <c:f>Sheet1!$G$28:$V$28</c:f>
              <c:numCache>
                <c:formatCode>General</c:formatCode>
                <c:ptCount val="16"/>
                <c:pt idx="0">
                  <c:v>1</c:v>
                </c:pt>
                <c:pt idx="1">
                  <c:v>1</c:v>
                </c:pt>
                <c:pt idx="2">
                  <c:v>0.77339346110484786</c:v>
                </c:pt>
                <c:pt idx="3">
                  <c:v>0.60267111853088484</c:v>
                </c:pt>
                <c:pt idx="4">
                  <c:v>0.2142629735752945</c:v>
                </c:pt>
                <c:pt idx="5">
                  <c:v>1</c:v>
                </c:pt>
                <c:pt idx="6">
                  <c:v>7.478890229191798E-2</c:v>
                </c:pt>
                <c:pt idx="7">
                  <c:v>0.87425387982491043</c:v>
                </c:pt>
                <c:pt idx="8">
                  <c:v>0.4882075471698113</c:v>
                </c:pt>
                <c:pt idx="9">
                  <c:v>1</c:v>
                </c:pt>
                <c:pt idx="10">
                  <c:v>0.86495726495726499</c:v>
                </c:pt>
                <c:pt idx="11">
                  <c:v>0.21963824289405684</c:v>
                </c:pt>
                <c:pt idx="12">
                  <c:v>7.5319926873857398E-2</c:v>
                </c:pt>
                <c:pt idx="13">
                  <c:v>1</c:v>
                </c:pt>
                <c:pt idx="14">
                  <c:v>0</c:v>
                </c:pt>
                <c:pt idx="15">
                  <c:v>0.5786516853932584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2BB-4746-AA64-BFA97CA8B8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91828015"/>
        <c:axId val="191818895"/>
      </c:barChart>
      <c:catAx>
        <c:axId val="19182801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Matrix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818895"/>
        <c:crosses val="autoZero"/>
        <c:auto val="1"/>
        <c:lblAlgn val="ctr"/>
        <c:lblOffset val="100"/>
        <c:noMultiLvlLbl val="0"/>
      </c:catAx>
      <c:valAx>
        <c:axId val="191818895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Efficiency</a:t>
                </a:r>
                <a:r>
                  <a:rPr lang="en-US" sz="1600" baseline="0"/>
                  <a:t> (normalized)</a:t>
                </a:r>
                <a:endParaRPr lang="en-US" sz="16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828015"/>
        <c:crosses val="autoZero"/>
        <c:crossBetween val="between"/>
        <c:minorUnit val="5.000000000000001E-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Sheet1!$F$108</c:f>
              <c:strCache>
                <c:ptCount val="1"/>
                <c:pt idx="0">
                  <c:v>DRAM Access Reduction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Sheet1!$G$105:$V$105</c:f>
              <c:strCache>
                <c:ptCount val="16"/>
                <c:pt idx="0">
                  <c:v>bcsstk10</c:v>
                </c:pt>
                <c:pt idx="1">
                  <c:v>bcsstk13</c:v>
                </c:pt>
                <c:pt idx="2">
                  <c:v>bcsstk17</c:v>
                </c:pt>
                <c:pt idx="3">
                  <c:v>c8_mat11</c:v>
                </c:pt>
                <c:pt idx="4">
                  <c:v>cq9</c:v>
                </c:pt>
                <c:pt idx="5">
                  <c:v>fv1</c:v>
                </c:pt>
                <c:pt idx="6">
                  <c:v>kl02</c:v>
                </c:pt>
                <c:pt idx="7">
                  <c:v>lhr34c</c:v>
                </c:pt>
                <c:pt idx="8">
                  <c:v>pdb1HYS</c:v>
                </c:pt>
                <c:pt idx="9">
                  <c:v>psmigr_1</c:v>
                </c:pt>
                <c:pt idx="10">
                  <c:v>wiki-Vote</c:v>
                </c:pt>
                <c:pt idx="11">
                  <c:v>p2p-Gnutella04</c:v>
                </c:pt>
                <c:pt idx="12">
                  <c:v>ca-HepTh</c:v>
                </c:pt>
                <c:pt idx="13">
                  <c:v>as-735</c:v>
                </c:pt>
                <c:pt idx="14">
                  <c:v>amazon0312</c:v>
                </c:pt>
                <c:pt idx="15">
                  <c:v>sinc15</c:v>
                </c:pt>
              </c:strCache>
            </c:strRef>
          </c:cat>
          <c:val>
            <c:numRef>
              <c:f>Sheet1!$G$108:$V$108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97.211229573071364</c:v>
                </c:pt>
                <c:pt idx="4">
                  <c:v>55.297801181242434</c:v>
                </c:pt>
                <c:pt idx="5">
                  <c:v>0</c:v>
                </c:pt>
                <c:pt idx="6">
                  <c:v>1.6418149751483084</c:v>
                </c:pt>
                <c:pt idx="7">
                  <c:v>4.2666666666666666</c:v>
                </c:pt>
                <c:pt idx="8">
                  <c:v>16.729155507945009</c:v>
                </c:pt>
                <c:pt idx="9">
                  <c:v>77.765237020316022</c:v>
                </c:pt>
                <c:pt idx="10">
                  <c:v>94.344547563805108</c:v>
                </c:pt>
                <c:pt idx="11">
                  <c:v>53.928571428571423</c:v>
                </c:pt>
                <c:pt idx="12">
                  <c:v>44.899603787522665</c:v>
                </c:pt>
                <c:pt idx="13">
                  <c:v>85.744109752460488</c:v>
                </c:pt>
                <c:pt idx="14">
                  <c:v>0</c:v>
                </c:pt>
                <c:pt idx="15">
                  <c:v>47.625052543085324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BE-4C30-B15D-43DBAE6F3E4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31473039"/>
        <c:axId val="1331474479"/>
      </c:barChart>
      <c:catAx>
        <c:axId val="133147303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Matrix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1474479"/>
        <c:crosses val="autoZero"/>
        <c:auto val="1"/>
        <c:lblAlgn val="ctr"/>
        <c:lblOffset val="100"/>
        <c:noMultiLvlLbl val="0"/>
      </c:catAx>
      <c:valAx>
        <c:axId val="1331474479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Reduction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1473039"/>
        <c:crosses val="autoZero"/>
        <c:crossBetween val="between"/>
        <c:min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DRAM Access Reduction v.</a:t>
            </a:r>
            <a:r>
              <a:rPr lang="en-US" sz="2000" baseline="0"/>
              <a:t> Matrix Correlation</a:t>
            </a:r>
            <a:endParaRPr lang="en-US" sz="20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Sheet1!$F$180</c:f>
              <c:strCache>
                <c:ptCount val="1"/>
                <c:pt idx="0">
                  <c:v>DRAM Access Reduction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Sheet1!$G$177:$N$177</c:f>
              <c:strCache>
                <c:ptCount val="8"/>
                <c:pt idx="0">
                  <c:v>bcsstk17</c:v>
                </c:pt>
                <c:pt idx="1">
                  <c:v>shock-9</c:v>
                </c:pt>
                <c:pt idx="2">
                  <c:v>fv1</c:v>
                </c:pt>
                <c:pt idx="3">
                  <c:v>airfoil1</c:v>
                </c:pt>
                <c:pt idx="4">
                  <c:v>diag</c:v>
                </c:pt>
                <c:pt idx="5">
                  <c:v>big_dual</c:v>
                </c:pt>
                <c:pt idx="6">
                  <c:v>Chem97ZtZ</c:v>
                </c:pt>
                <c:pt idx="7">
                  <c:v>crack</c:v>
                </c:pt>
              </c:strCache>
            </c:strRef>
          </c:cat>
          <c:val>
            <c:numRef>
              <c:f>Sheet1!$G$180:$N$180</c:f>
              <c:numCache>
                <c:formatCode>General</c:formatCode>
                <c:ptCount val="8"/>
                <c:pt idx="0">
                  <c:v>-29.300291545189506</c:v>
                </c:pt>
                <c:pt idx="1">
                  <c:v>-8.7051618547681535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7.7413479052823311</c:v>
                </c:pt>
                <c:pt idx="6">
                  <c:v>15.137614678899084</c:v>
                </c:pt>
                <c:pt idx="7">
                  <c:v>67.035611164581326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5F-45F0-9E28-9BAEFAD9E1A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558316512"/>
        <c:axId val="1558316992"/>
      </c:barChart>
      <c:lineChart>
        <c:grouping val="standard"/>
        <c:varyColors val="0"/>
        <c:ser>
          <c:idx val="1"/>
          <c:order val="1"/>
          <c:tx>
            <c:strRef>
              <c:f>Sheet1!$F$183</c:f>
              <c:strCache>
                <c:ptCount val="1"/>
                <c:pt idx="0">
                  <c:v>Weighted Pearson Correlation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elete val="1"/>
          </c:dLbls>
          <c:cat>
            <c:strRef>
              <c:f>Sheet1!$G$177:$N$177</c:f>
              <c:strCache>
                <c:ptCount val="8"/>
                <c:pt idx="0">
                  <c:v>bcsstk17</c:v>
                </c:pt>
                <c:pt idx="1">
                  <c:v>shock-9</c:v>
                </c:pt>
                <c:pt idx="2">
                  <c:v>fv1</c:v>
                </c:pt>
                <c:pt idx="3">
                  <c:v>airfoil1</c:v>
                </c:pt>
                <c:pt idx="4">
                  <c:v>diag</c:v>
                </c:pt>
                <c:pt idx="5">
                  <c:v>big_dual</c:v>
                </c:pt>
                <c:pt idx="6">
                  <c:v>Chem97ZtZ</c:v>
                </c:pt>
                <c:pt idx="7">
                  <c:v>crack</c:v>
                </c:pt>
              </c:strCache>
            </c:strRef>
          </c:cat>
          <c:val>
            <c:numRef>
              <c:f>Sheet1!$G$183:$N$183</c:f>
              <c:numCache>
                <c:formatCode>General</c:formatCode>
                <c:ptCount val="8"/>
                <c:pt idx="0">
                  <c:v>0.99458258408401501</c:v>
                </c:pt>
                <c:pt idx="1">
                  <c:v>0.99938137434990404</c:v>
                </c:pt>
                <c:pt idx="2">
                  <c:v>0.99939327039289805</c:v>
                </c:pt>
                <c:pt idx="3">
                  <c:v>0.97656686079871402</c:v>
                </c:pt>
                <c:pt idx="4">
                  <c:v>0.92697750688552205</c:v>
                </c:pt>
                <c:pt idx="5">
                  <c:v>0.65126395359005196</c:v>
                </c:pt>
                <c:pt idx="6">
                  <c:v>-0.75453921168305105</c:v>
                </c:pt>
                <c:pt idx="7">
                  <c:v>-0.59031282106315597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65F-45F0-9E28-9BAEFAD9E1A0}"/>
            </c:ext>
          </c:extLst>
        </c:ser>
        <c:ser>
          <c:idx val="2"/>
          <c:order val="2"/>
          <c:tx>
            <c:v>Correlation Positive Limit</c:v>
          </c:tx>
          <c:spPr>
            <a:ln w="38100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Sheet1!$G$177:$N$177</c:f>
              <c:strCache>
                <c:ptCount val="8"/>
                <c:pt idx="0">
                  <c:v>bcsstk17</c:v>
                </c:pt>
                <c:pt idx="1">
                  <c:v>shock-9</c:v>
                </c:pt>
                <c:pt idx="2">
                  <c:v>fv1</c:v>
                </c:pt>
                <c:pt idx="3">
                  <c:v>airfoil1</c:v>
                </c:pt>
                <c:pt idx="4">
                  <c:v>diag</c:v>
                </c:pt>
                <c:pt idx="5">
                  <c:v>big_dual</c:v>
                </c:pt>
                <c:pt idx="6">
                  <c:v>Chem97ZtZ</c:v>
                </c:pt>
                <c:pt idx="7">
                  <c:v>crack</c:v>
                </c:pt>
              </c:strCache>
            </c:strRef>
          </c:cat>
          <c:val>
            <c:numRef>
              <c:f>Sheet1!$G$184:$N$184</c:f>
              <c:numCache>
                <c:formatCode>General</c:formatCode>
                <c:ptCount val="8"/>
                <c:pt idx="0">
                  <c:v>0.8</c:v>
                </c:pt>
                <c:pt idx="1">
                  <c:v>0.8</c:v>
                </c:pt>
                <c:pt idx="2">
                  <c:v>0.8</c:v>
                </c:pt>
                <c:pt idx="3">
                  <c:v>0.8</c:v>
                </c:pt>
                <c:pt idx="4">
                  <c:v>0.8</c:v>
                </c:pt>
                <c:pt idx="5">
                  <c:v>0.8</c:v>
                </c:pt>
                <c:pt idx="6">
                  <c:v>0.8</c:v>
                </c:pt>
                <c:pt idx="7">
                  <c:v>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65F-45F0-9E28-9BAEFAD9E1A0}"/>
            </c:ext>
          </c:extLst>
        </c:ser>
        <c:ser>
          <c:idx val="3"/>
          <c:order val="3"/>
          <c:tx>
            <c:v>Correlation Negative Limit</c:v>
          </c:tx>
          <c:spPr>
            <a:ln w="38100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Sheet1!$G$177:$N$177</c:f>
              <c:strCache>
                <c:ptCount val="8"/>
                <c:pt idx="0">
                  <c:v>bcsstk17</c:v>
                </c:pt>
                <c:pt idx="1">
                  <c:v>shock-9</c:v>
                </c:pt>
                <c:pt idx="2">
                  <c:v>fv1</c:v>
                </c:pt>
                <c:pt idx="3">
                  <c:v>airfoil1</c:v>
                </c:pt>
                <c:pt idx="4">
                  <c:v>diag</c:v>
                </c:pt>
                <c:pt idx="5">
                  <c:v>big_dual</c:v>
                </c:pt>
                <c:pt idx="6">
                  <c:v>Chem97ZtZ</c:v>
                </c:pt>
                <c:pt idx="7">
                  <c:v>crack</c:v>
                </c:pt>
              </c:strCache>
            </c:strRef>
          </c:cat>
          <c:val>
            <c:numRef>
              <c:f>Sheet1!$G$185:$N$185</c:f>
              <c:numCache>
                <c:formatCode>General</c:formatCode>
                <c:ptCount val="8"/>
                <c:pt idx="0">
                  <c:v>-0.8</c:v>
                </c:pt>
                <c:pt idx="1">
                  <c:v>-0.8</c:v>
                </c:pt>
                <c:pt idx="2">
                  <c:v>-0.8</c:v>
                </c:pt>
                <c:pt idx="3">
                  <c:v>-0.8</c:v>
                </c:pt>
                <c:pt idx="4">
                  <c:v>-0.8</c:v>
                </c:pt>
                <c:pt idx="5">
                  <c:v>-0.8</c:v>
                </c:pt>
                <c:pt idx="6">
                  <c:v>-0.8</c:v>
                </c:pt>
                <c:pt idx="7">
                  <c:v>-0.8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65F-45F0-9E28-9BAEFAD9E1A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558261792"/>
        <c:axId val="1558269472"/>
      </c:lineChart>
      <c:catAx>
        <c:axId val="15583165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Matrix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8316992"/>
        <c:crosses val="autoZero"/>
        <c:auto val="1"/>
        <c:lblAlgn val="ctr"/>
        <c:lblOffset val="100"/>
        <c:noMultiLvlLbl val="0"/>
      </c:catAx>
      <c:valAx>
        <c:axId val="1558316992"/>
        <c:scaling>
          <c:orientation val="minMax"/>
          <c:max val="100"/>
          <c:min val="-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Reduction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8316512"/>
        <c:crosses val="autoZero"/>
        <c:crossBetween val="between"/>
      </c:valAx>
      <c:valAx>
        <c:axId val="1558269472"/>
        <c:scaling>
          <c:orientation val="minMax"/>
          <c:max val="1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Weighted</a:t>
                </a:r>
                <a:r>
                  <a:rPr lang="en-US" sz="1600" baseline="0"/>
                  <a:t> Correlation</a:t>
                </a:r>
                <a:endParaRPr lang="en-US" sz="16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8261792"/>
        <c:crosses val="max"/>
        <c:crossBetween val="between"/>
      </c:valAx>
      <c:catAx>
        <c:axId val="155826179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55826947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Page</a:t>
            </a:r>
            <a:r>
              <a:rPr lang="en-US" baseline="0"/>
              <a:t> Size = 32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6"/>
          <c:order val="0"/>
          <c:tx>
            <c:strRef>
              <c:f>Sheet1!$D$240</c:f>
              <c:strCache>
                <c:ptCount val="1"/>
                <c:pt idx="0">
                  <c:v>64</c:v>
                </c:pt>
              </c:strCache>
            </c:strRef>
          </c:tx>
          <c:cat>
            <c:strRef>
              <c:f>Sheet1!$G$239:$AA$239</c:f>
              <c:strCache>
                <c:ptCount val="21"/>
                <c:pt idx="0">
                  <c:v>bcsstk10</c:v>
                </c:pt>
                <c:pt idx="1">
                  <c:v>bcsstk13</c:v>
                </c:pt>
                <c:pt idx="2">
                  <c:v>bcsstk17</c:v>
                </c:pt>
                <c:pt idx="3">
                  <c:v>c8_mat11</c:v>
                </c:pt>
                <c:pt idx="4">
                  <c:v>cq9</c:v>
                </c:pt>
                <c:pt idx="5">
                  <c:v>fv1</c:v>
                </c:pt>
                <c:pt idx="6">
                  <c:v>kl02</c:v>
                </c:pt>
                <c:pt idx="7">
                  <c:v>lhr34c</c:v>
                </c:pt>
                <c:pt idx="8">
                  <c:v>pdb1HYS</c:v>
                </c:pt>
                <c:pt idx="9">
                  <c:v>psmigr_1</c:v>
                </c:pt>
                <c:pt idx="10">
                  <c:v>wiki-Vote</c:v>
                </c:pt>
                <c:pt idx="11">
                  <c:v>ca-HepTh</c:v>
                </c:pt>
                <c:pt idx="12">
                  <c:v>p2p-Gnutella04</c:v>
                </c:pt>
                <c:pt idx="13">
                  <c:v>as-735</c:v>
                </c:pt>
                <c:pt idx="14">
                  <c:v>amazon0312</c:v>
                </c:pt>
                <c:pt idx="15">
                  <c:v>Chem97ZtZ</c:v>
                </c:pt>
                <c:pt idx="16">
                  <c:v>airfoil1</c:v>
                </c:pt>
                <c:pt idx="17">
                  <c:v>diag</c:v>
                </c:pt>
                <c:pt idx="18">
                  <c:v>crack</c:v>
                </c:pt>
                <c:pt idx="19">
                  <c:v>shock-9</c:v>
                </c:pt>
                <c:pt idx="20">
                  <c:v>big_dual</c:v>
                </c:pt>
              </c:strCache>
            </c:strRef>
          </c:cat>
          <c:val>
            <c:numRef>
              <c:f>Sheet1!$G$240:$AA$240</c:f>
              <c:numCache>
                <c:formatCode>General</c:formatCode>
                <c:ptCount val="21"/>
                <c:pt idx="0">
                  <c:v>0</c:v>
                </c:pt>
                <c:pt idx="1">
                  <c:v>0.25</c:v>
                </c:pt>
                <c:pt idx="2">
                  <c:v>0.39186800235710001</c:v>
                </c:pt>
                <c:pt idx="3">
                  <c:v>2.0439287575488099E-2</c:v>
                </c:pt>
                <c:pt idx="4">
                  <c:v>1.1928429423459201E-2</c:v>
                </c:pt>
                <c:pt idx="5">
                  <c:v>-1.49750415973377E-2</c:v>
                </c:pt>
                <c:pt idx="6">
                  <c:v>-8.5560899228274197E-3</c:v>
                </c:pt>
                <c:pt idx="7">
                  <c:v>1.5939015939015901E-2</c:v>
                </c:pt>
                <c:pt idx="8">
                  <c:v>0.16692010761492501</c:v>
                </c:pt>
                <c:pt idx="9">
                  <c:v>4.3452533050015403E-2</c:v>
                </c:pt>
                <c:pt idx="10">
                  <c:v>1.0444215339100799E-2</c:v>
                </c:pt>
                <c:pt idx="11">
                  <c:v>-8.3762723049978405E-4</c:v>
                </c:pt>
                <c:pt idx="12">
                  <c:v>-3.7958869882759902E-3</c:v>
                </c:pt>
                <c:pt idx="13">
                  <c:v>8.9201877934272297E-3</c:v>
                </c:pt>
                <c:pt idx="14">
                  <c:v>-6.4034140693055601E-3</c:v>
                </c:pt>
                <c:pt idx="15">
                  <c:v>0.22591362126245801</c:v>
                </c:pt>
                <c:pt idx="16">
                  <c:v>-5.8181818181818099E-2</c:v>
                </c:pt>
                <c:pt idx="17">
                  <c:v>-1.2500000000000001E-2</c:v>
                </c:pt>
                <c:pt idx="18">
                  <c:v>5.0867244829886499E-3</c:v>
                </c:pt>
                <c:pt idx="19">
                  <c:v>0.23249055507120001</c:v>
                </c:pt>
                <c:pt idx="20">
                  <c:v>-0.14747244393766601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AC55-4C44-B630-DB473B3F42C3}"/>
            </c:ext>
          </c:extLst>
        </c:ser>
        <c:ser>
          <c:idx val="7"/>
          <c:order val="1"/>
          <c:tx>
            <c:strRef>
              <c:f>Sheet1!$D$242</c:f>
              <c:strCache>
                <c:ptCount val="1"/>
                <c:pt idx="0">
                  <c:v>128</c:v>
                </c:pt>
              </c:strCache>
            </c:strRef>
          </c:tx>
          <c:cat>
            <c:strRef>
              <c:f>Sheet1!$G$239:$AA$239</c:f>
              <c:strCache>
                <c:ptCount val="21"/>
                <c:pt idx="0">
                  <c:v>bcsstk10</c:v>
                </c:pt>
                <c:pt idx="1">
                  <c:v>bcsstk13</c:v>
                </c:pt>
                <c:pt idx="2">
                  <c:v>bcsstk17</c:v>
                </c:pt>
                <c:pt idx="3">
                  <c:v>c8_mat11</c:v>
                </c:pt>
                <c:pt idx="4">
                  <c:v>cq9</c:v>
                </c:pt>
                <c:pt idx="5">
                  <c:v>fv1</c:v>
                </c:pt>
                <c:pt idx="6">
                  <c:v>kl02</c:v>
                </c:pt>
                <c:pt idx="7">
                  <c:v>lhr34c</c:v>
                </c:pt>
                <c:pt idx="8">
                  <c:v>pdb1HYS</c:v>
                </c:pt>
                <c:pt idx="9">
                  <c:v>psmigr_1</c:v>
                </c:pt>
                <c:pt idx="10">
                  <c:v>wiki-Vote</c:v>
                </c:pt>
                <c:pt idx="11">
                  <c:v>ca-HepTh</c:v>
                </c:pt>
                <c:pt idx="12">
                  <c:v>p2p-Gnutella04</c:v>
                </c:pt>
                <c:pt idx="13">
                  <c:v>as-735</c:v>
                </c:pt>
                <c:pt idx="14">
                  <c:v>amazon0312</c:v>
                </c:pt>
                <c:pt idx="15">
                  <c:v>Chem97ZtZ</c:v>
                </c:pt>
                <c:pt idx="16">
                  <c:v>airfoil1</c:v>
                </c:pt>
                <c:pt idx="17">
                  <c:v>diag</c:v>
                </c:pt>
                <c:pt idx="18">
                  <c:v>crack</c:v>
                </c:pt>
                <c:pt idx="19">
                  <c:v>shock-9</c:v>
                </c:pt>
                <c:pt idx="20">
                  <c:v>big_dual</c:v>
                </c:pt>
              </c:strCache>
            </c:strRef>
          </c:cat>
          <c:val>
            <c:numRef>
              <c:f>Sheet1!$G$242:$AA$242</c:f>
              <c:numCache>
                <c:formatCode>General</c:formatCode>
                <c:ptCount val="21"/>
                <c:pt idx="0">
                  <c:v>0</c:v>
                </c:pt>
                <c:pt idx="1">
                  <c:v>0.25</c:v>
                </c:pt>
                <c:pt idx="2">
                  <c:v>0.30819092516204999</c:v>
                </c:pt>
                <c:pt idx="3">
                  <c:v>2.41562183869286E-2</c:v>
                </c:pt>
                <c:pt idx="4">
                  <c:v>1.17296222664015E-2</c:v>
                </c:pt>
                <c:pt idx="5">
                  <c:v>0</c:v>
                </c:pt>
                <c:pt idx="6">
                  <c:v>-4.2221228050553601E-3</c:v>
                </c:pt>
                <c:pt idx="7">
                  <c:v>3.11850311850311E-3</c:v>
                </c:pt>
                <c:pt idx="8">
                  <c:v>0.137326003041291</c:v>
                </c:pt>
                <c:pt idx="9">
                  <c:v>4.3116317226353902E-2</c:v>
                </c:pt>
                <c:pt idx="10">
                  <c:v>8.0909050159128602E-3</c:v>
                </c:pt>
                <c:pt idx="11">
                  <c:v>-2.7920907683326099E-3</c:v>
                </c:pt>
                <c:pt idx="12">
                  <c:v>-8.3605612146838305E-3</c:v>
                </c:pt>
                <c:pt idx="13">
                  <c:v>5.0704225352112596E-3</c:v>
                </c:pt>
                <c:pt idx="14">
                  <c:v>-7.7484768244924403E-3</c:v>
                </c:pt>
                <c:pt idx="15">
                  <c:v>0.245847176079734</c:v>
                </c:pt>
                <c:pt idx="16">
                  <c:v>-6.5454545454545404E-2</c:v>
                </c:pt>
                <c:pt idx="17">
                  <c:v>-6.2500000000000003E-3</c:v>
                </c:pt>
                <c:pt idx="18">
                  <c:v>-1.62608405603735E-2</c:v>
                </c:pt>
                <c:pt idx="19">
                  <c:v>0.210985178727114</c:v>
                </c:pt>
                <c:pt idx="20">
                  <c:v>-0.16457620676548801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AC55-4C44-B630-DB473B3F42C3}"/>
            </c:ext>
          </c:extLst>
        </c:ser>
        <c:ser>
          <c:idx val="8"/>
          <c:order val="2"/>
          <c:tx>
            <c:strRef>
              <c:f>Sheet1!$D$244</c:f>
              <c:strCache>
                <c:ptCount val="1"/>
                <c:pt idx="0">
                  <c:v>256</c:v>
                </c:pt>
              </c:strCache>
            </c:strRef>
          </c:tx>
          <c:cat>
            <c:strRef>
              <c:f>Sheet1!$G$239:$AA$239</c:f>
              <c:strCache>
                <c:ptCount val="21"/>
                <c:pt idx="0">
                  <c:v>bcsstk10</c:v>
                </c:pt>
                <c:pt idx="1">
                  <c:v>bcsstk13</c:v>
                </c:pt>
                <c:pt idx="2">
                  <c:v>bcsstk17</c:v>
                </c:pt>
                <c:pt idx="3">
                  <c:v>c8_mat11</c:v>
                </c:pt>
                <c:pt idx="4">
                  <c:v>cq9</c:v>
                </c:pt>
                <c:pt idx="5">
                  <c:v>fv1</c:v>
                </c:pt>
                <c:pt idx="6">
                  <c:v>kl02</c:v>
                </c:pt>
                <c:pt idx="7">
                  <c:v>lhr34c</c:v>
                </c:pt>
                <c:pt idx="8">
                  <c:v>pdb1HYS</c:v>
                </c:pt>
                <c:pt idx="9">
                  <c:v>psmigr_1</c:v>
                </c:pt>
                <c:pt idx="10">
                  <c:v>wiki-Vote</c:v>
                </c:pt>
                <c:pt idx="11">
                  <c:v>ca-HepTh</c:v>
                </c:pt>
                <c:pt idx="12">
                  <c:v>p2p-Gnutella04</c:v>
                </c:pt>
                <c:pt idx="13">
                  <c:v>as-735</c:v>
                </c:pt>
                <c:pt idx="14">
                  <c:v>amazon0312</c:v>
                </c:pt>
                <c:pt idx="15">
                  <c:v>Chem97ZtZ</c:v>
                </c:pt>
                <c:pt idx="16">
                  <c:v>airfoil1</c:v>
                </c:pt>
                <c:pt idx="17">
                  <c:v>diag</c:v>
                </c:pt>
                <c:pt idx="18">
                  <c:v>crack</c:v>
                </c:pt>
                <c:pt idx="19">
                  <c:v>shock-9</c:v>
                </c:pt>
                <c:pt idx="20">
                  <c:v>big_dual</c:v>
                </c:pt>
              </c:strCache>
            </c:strRef>
          </c:cat>
          <c:val>
            <c:numRef>
              <c:f>Sheet1!$G$244:$AA$244</c:f>
              <c:numCache>
                <c:formatCode>General</c:formatCode>
                <c:ptCount val="21"/>
                <c:pt idx="0">
                  <c:v>0</c:v>
                </c:pt>
                <c:pt idx="1">
                  <c:v>0.25</c:v>
                </c:pt>
                <c:pt idx="2">
                  <c:v>0.31113730111962201</c:v>
                </c:pt>
                <c:pt idx="3">
                  <c:v>2.3167591428834101E-2</c:v>
                </c:pt>
                <c:pt idx="4">
                  <c:v>1.28230616302186E-2</c:v>
                </c:pt>
                <c:pt idx="5">
                  <c:v>0</c:v>
                </c:pt>
                <c:pt idx="6">
                  <c:v>-4.9211497595347204E-3</c:v>
                </c:pt>
                <c:pt idx="7">
                  <c:v>6.93000693000693E-4</c:v>
                </c:pt>
                <c:pt idx="8">
                  <c:v>0.13954848520294699</c:v>
                </c:pt>
                <c:pt idx="9">
                  <c:v>3.9485186330809399E-2</c:v>
                </c:pt>
                <c:pt idx="10">
                  <c:v>8.1133174951813092E-3</c:v>
                </c:pt>
                <c:pt idx="11">
                  <c:v>-1.0660710206360799E-3</c:v>
                </c:pt>
                <c:pt idx="12">
                  <c:v>-1.0955218143378799E-2</c:v>
                </c:pt>
                <c:pt idx="13">
                  <c:v>3.47417840375586E-3</c:v>
                </c:pt>
                <c:pt idx="14">
                  <c:v>-7.9701960537028292E-3</c:v>
                </c:pt>
                <c:pt idx="15">
                  <c:v>0.25249169435215901</c:v>
                </c:pt>
                <c:pt idx="16">
                  <c:v>-0.105454545454545</c:v>
                </c:pt>
                <c:pt idx="17">
                  <c:v>-1.8749999999999999E-2</c:v>
                </c:pt>
                <c:pt idx="18">
                  <c:v>-2.05970647098065E-2</c:v>
                </c:pt>
                <c:pt idx="19">
                  <c:v>0.20924149956408</c:v>
                </c:pt>
                <c:pt idx="20">
                  <c:v>-0.181299885974914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AC55-4C44-B630-DB473B3F42C3}"/>
            </c:ext>
          </c:extLst>
        </c:ser>
        <c:ser>
          <c:idx val="9"/>
          <c:order val="3"/>
          <c:tx>
            <c:strRef>
              <c:f>Sheet1!$D$246</c:f>
              <c:strCache>
                <c:ptCount val="1"/>
                <c:pt idx="0">
                  <c:v>512</c:v>
                </c:pt>
              </c:strCache>
            </c:strRef>
          </c:tx>
          <c:cat>
            <c:strRef>
              <c:f>Sheet1!$G$239:$AA$239</c:f>
              <c:strCache>
                <c:ptCount val="21"/>
                <c:pt idx="0">
                  <c:v>bcsstk10</c:v>
                </c:pt>
                <c:pt idx="1">
                  <c:v>bcsstk13</c:v>
                </c:pt>
                <c:pt idx="2">
                  <c:v>bcsstk17</c:v>
                </c:pt>
                <c:pt idx="3">
                  <c:v>c8_mat11</c:v>
                </c:pt>
                <c:pt idx="4">
                  <c:v>cq9</c:v>
                </c:pt>
                <c:pt idx="5">
                  <c:v>fv1</c:v>
                </c:pt>
                <c:pt idx="6">
                  <c:v>kl02</c:v>
                </c:pt>
                <c:pt idx="7">
                  <c:v>lhr34c</c:v>
                </c:pt>
                <c:pt idx="8">
                  <c:v>pdb1HYS</c:v>
                </c:pt>
                <c:pt idx="9">
                  <c:v>psmigr_1</c:v>
                </c:pt>
                <c:pt idx="10">
                  <c:v>wiki-Vote</c:v>
                </c:pt>
                <c:pt idx="11">
                  <c:v>ca-HepTh</c:v>
                </c:pt>
                <c:pt idx="12">
                  <c:v>p2p-Gnutella04</c:v>
                </c:pt>
                <c:pt idx="13">
                  <c:v>as-735</c:v>
                </c:pt>
                <c:pt idx="14">
                  <c:v>amazon0312</c:v>
                </c:pt>
                <c:pt idx="15">
                  <c:v>Chem97ZtZ</c:v>
                </c:pt>
                <c:pt idx="16">
                  <c:v>airfoil1</c:v>
                </c:pt>
                <c:pt idx="17">
                  <c:v>diag</c:v>
                </c:pt>
                <c:pt idx="18">
                  <c:v>crack</c:v>
                </c:pt>
                <c:pt idx="19">
                  <c:v>shock-9</c:v>
                </c:pt>
                <c:pt idx="20">
                  <c:v>big_dual</c:v>
                </c:pt>
              </c:strCache>
            </c:strRef>
          </c:cat>
          <c:val>
            <c:numRef>
              <c:f>Sheet1!$G$246:$AA$246</c:f>
              <c:numCache>
                <c:formatCode>General</c:formatCode>
                <c:ptCount val="21"/>
                <c:pt idx="0">
                  <c:v>0</c:v>
                </c:pt>
                <c:pt idx="1">
                  <c:v>0.25</c:v>
                </c:pt>
                <c:pt idx="2">
                  <c:v>0.31290512669416598</c:v>
                </c:pt>
                <c:pt idx="3">
                  <c:v>2.70148064130468E-2</c:v>
                </c:pt>
                <c:pt idx="4">
                  <c:v>1.53081510934393E-2</c:v>
                </c:pt>
                <c:pt idx="5">
                  <c:v>0</c:v>
                </c:pt>
                <c:pt idx="6">
                  <c:v>-5.8438653394474798E-3</c:v>
                </c:pt>
                <c:pt idx="7">
                  <c:v>3.4650034650034601E-3</c:v>
                </c:pt>
                <c:pt idx="8">
                  <c:v>0.11919522751198899</c:v>
                </c:pt>
                <c:pt idx="9">
                  <c:v>4.2000080691797601E-2</c:v>
                </c:pt>
                <c:pt idx="10">
                  <c:v>4.5497332914967003E-3</c:v>
                </c:pt>
                <c:pt idx="11">
                  <c:v>-1.8783156077873901E-3</c:v>
                </c:pt>
                <c:pt idx="12">
                  <c:v>-7.15933115510282E-3</c:v>
                </c:pt>
                <c:pt idx="13">
                  <c:v>8.8262910798122002E-3</c:v>
                </c:pt>
                <c:pt idx="14">
                  <c:v>-7.7428829907279602E-3</c:v>
                </c:pt>
                <c:pt idx="15">
                  <c:v>0.24252491694352099</c:v>
                </c:pt>
                <c:pt idx="16">
                  <c:v>-5.8181818181818099E-2</c:v>
                </c:pt>
                <c:pt idx="17">
                  <c:v>-6.2500000000000003E-3</c:v>
                </c:pt>
                <c:pt idx="18">
                  <c:v>-2.81854569713142E-2</c:v>
                </c:pt>
                <c:pt idx="19">
                  <c:v>0.216797442603894</c:v>
                </c:pt>
                <c:pt idx="20">
                  <c:v>-0.16571645762067599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AC55-4C44-B630-DB473B3F42C3}"/>
            </c:ext>
          </c:extLst>
        </c:ser>
        <c:ser>
          <c:idx val="10"/>
          <c:order val="4"/>
          <c:tx>
            <c:strRef>
              <c:f>Sheet1!$D$248</c:f>
              <c:strCache>
                <c:ptCount val="1"/>
                <c:pt idx="0">
                  <c:v>1024</c:v>
                </c:pt>
              </c:strCache>
            </c:strRef>
          </c:tx>
          <c:cat>
            <c:strRef>
              <c:f>Sheet1!$G$239:$AA$239</c:f>
              <c:strCache>
                <c:ptCount val="21"/>
                <c:pt idx="0">
                  <c:v>bcsstk10</c:v>
                </c:pt>
                <c:pt idx="1">
                  <c:v>bcsstk13</c:v>
                </c:pt>
                <c:pt idx="2">
                  <c:v>bcsstk17</c:v>
                </c:pt>
                <c:pt idx="3">
                  <c:v>c8_mat11</c:v>
                </c:pt>
                <c:pt idx="4">
                  <c:v>cq9</c:v>
                </c:pt>
                <c:pt idx="5">
                  <c:v>fv1</c:v>
                </c:pt>
                <c:pt idx="6">
                  <c:v>kl02</c:v>
                </c:pt>
                <c:pt idx="7">
                  <c:v>lhr34c</c:v>
                </c:pt>
                <c:pt idx="8">
                  <c:v>pdb1HYS</c:v>
                </c:pt>
                <c:pt idx="9">
                  <c:v>psmigr_1</c:v>
                </c:pt>
                <c:pt idx="10">
                  <c:v>wiki-Vote</c:v>
                </c:pt>
                <c:pt idx="11">
                  <c:v>ca-HepTh</c:v>
                </c:pt>
                <c:pt idx="12">
                  <c:v>p2p-Gnutella04</c:v>
                </c:pt>
                <c:pt idx="13">
                  <c:v>as-735</c:v>
                </c:pt>
                <c:pt idx="14">
                  <c:v>amazon0312</c:v>
                </c:pt>
                <c:pt idx="15">
                  <c:v>Chem97ZtZ</c:v>
                </c:pt>
                <c:pt idx="16">
                  <c:v>airfoil1</c:v>
                </c:pt>
                <c:pt idx="17">
                  <c:v>diag</c:v>
                </c:pt>
                <c:pt idx="18">
                  <c:v>crack</c:v>
                </c:pt>
                <c:pt idx="19">
                  <c:v>shock-9</c:v>
                </c:pt>
                <c:pt idx="20">
                  <c:v>big_dual</c:v>
                </c:pt>
              </c:strCache>
            </c:strRef>
          </c:cat>
          <c:val>
            <c:numRef>
              <c:f>Sheet1!$G$248:$AA$248</c:f>
              <c:numCache>
                <c:formatCode>General</c:formatCode>
                <c:ptCount val="21"/>
                <c:pt idx="0">
                  <c:v>0</c:v>
                </c:pt>
                <c:pt idx="1">
                  <c:v>0.25</c:v>
                </c:pt>
                <c:pt idx="2">
                  <c:v>0.31054802592810798</c:v>
                </c:pt>
                <c:pt idx="3">
                  <c:v>2.4868949449740899E-2</c:v>
                </c:pt>
                <c:pt idx="4">
                  <c:v>1.4985089463220601E-2</c:v>
                </c:pt>
                <c:pt idx="5">
                  <c:v>0</c:v>
                </c:pt>
                <c:pt idx="6">
                  <c:v>-4.2221228050553601E-3</c:v>
                </c:pt>
                <c:pt idx="7">
                  <c:v>2.1136521136521098E-2</c:v>
                </c:pt>
                <c:pt idx="8">
                  <c:v>0.13755994853199199</c:v>
                </c:pt>
                <c:pt idx="9">
                  <c:v>3.8234463466788597E-2</c:v>
                </c:pt>
                <c:pt idx="10">
                  <c:v>6.7237437805370004E-3</c:v>
                </c:pt>
                <c:pt idx="11">
                  <c:v>-4.26428408254435E-3</c:v>
                </c:pt>
                <c:pt idx="12">
                  <c:v>-1.09071689409955E-2</c:v>
                </c:pt>
                <c:pt idx="13">
                  <c:v>-1.69014084507042E-3</c:v>
                </c:pt>
                <c:pt idx="14">
                  <c:v>-7.8328928613019093E-3</c:v>
                </c:pt>
                <c:pt idx="15">
                  <c:v>0.235880398671096</c:v>
                </c:pt>
                <c:pt idx="16">
                  <c:v>-6.9090909090908995E-2</c:v>
                </c:pt>
                <c:pt idx="17">
                  <c:v>-1.2500000000000001E-2</c:v>
                </c:pt>
                <c:pt idx="18">
                  <c:v>-1.9429619746497599E-2</c:v>
                </c:pt>
                <c:pt idx="19">
                  <c:v>0.23423423423423401</c:v>
                </c:pt>
                <c:pt idx="20">
                  <c:v>-0.16457620676548801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AC55-4C44-B630-DB473B3F42C3}"/>
            </c:ext>
          </c:extLst>
        </c:ser>
        <c:ser>
          <c:idx val="11"/>
          <c:order val="5"/>
          <c:tx>
            <c:strRef>
              <c:f>Sheet1!$D$250</c:f>
              <c:strCache>
                <c:ptCount val="1"/>
                <c:pt idx="0">
                  <c:v>2048</c:v>
                </c:pt>
              </c:strCache>
            </c:strRef>
          </c:tx>
          <c:cat>
            <c:strRef>
              <c:f>Sheet1!$G$239:$AA$239</c:f>
              <c:strCache>
                <c:ptCount val="21"/>
                <c:pt idx="0">
                  <c:v>bcsstk10</c:v>
                </c:pt>
                <c:pt idx="1">
                  <c:v>bcsstk13</c:v>
                </c:pt>
                <c:pt idx="2">
                  <c:v>bcsstk17</c:v>
                </c:pt>
                <c:pt idx="3">
                  <c:v>c8_mat11</c:v>
                </c:pt>
                <c:pt idx="4">
                  <c:v>cq9</c:v>
                </c:pt>
                <c:pt idx="5">
                  <c:v>fv1</c:v>
                </c:pt>
                <c:pt idx="6">
                  <c:v>kl02</c:v>
                </c:pt>
                <c:pt idx="7">
                  <c:v>lhr34c</c:v>
                </c:pt>
                <c:pt idx="8">
                  <c:v>pdb1HYS</c:v>
                </c:pt>
                <c:pt idx="9">
                  <c:v>psmigr_1</c:v>
                </c:pt>
                <c:pt idx="10">
                  <c:v>wiki-Vote</c:v>
                </c:pt>
                <c:pt idx="11">
                  <c:v>ca-HepTh</c:v>
                </c:pt>
                <c:pt idx="12">
                  <c:v>p2p-Gnutella04</c:v>
                </c:pt>
                <c:pt idx="13">
                  <c:v>as-735</c:v>
                </c:pt>
                <c:pt idx="14">
                  <c:v>amazon0312</c:v>
                </c:pt>
                <c:pt idx="15">
                  <c:v>Chem97ZtZ</c:v>
                </c:pt>
                <c:pt idx="16">
                  <c:v>airfoil1</c:v>
                </c:pt>
                <c:pt idx="17">
                  <c:v>diag</c:v>
                </c:pt>
                <c:pt idx="18">
                  <c:v>crack</c:v>
                </c:pt>
                <c:pt idx="19">
                  <c:v>shock-9</c:v>
                </c:pt>
                <c:pt idx="20">
                  <c:v>big_dual</c:v>
                </c:pt>
              </c:strCache>
            </c:strRef>
          </c:cat>
          <c:val>
            <c:numRef>
              <c:f>Sheet1!$G$250:$AA$250</c:f>
              <c:numCache>
                <c:formatCode>General</c:formatCode>
                <c:ptCount val="21"/>
                <c:pt idx="0">
                  <c:v>0</c:v>
                </c:pt>
                <c:pt idx="1">
                  <c:v>0.25</c:v>
                </c:pt>
                <c:pt idx="2">
                  <c:v>0.32645845609899798</c:v>
                </c:pt>
                <c:pt idx="3">
                  <c:v>2.2217283345084399E-2</c:v>
                </c:pt>
                <c:pt idx="4">
                  <c:v>1.5556660039761401E-2</c:v>
                </c:pt>
                <c:pt idx="5">
                  <c:v>0</c:v>
                </c:pt>
                <c:pt idx="6">
                  <c:v>-5.25668269768482E-3</c:v>
                </c:pt>
                <c:pt idx="7">
                  <c:v>-1.3860013860013799E-3</c:v>
                </c:pt>
                <c:pt idx="8">
                  <c:v>0.115101181424728</c:v>
                </c:pt>
                <c:pt idx="9">
                  <c:v>3.8113425770270402E-2</c:v>
                </c:pt>
                <c:pt idx="10">
                  <c:v>9.6373660854363701E-4</c:v>
                </c:pt>
                <c:pt idx="11">
                  <c:v>-1.34528009746935E-3</c:v>
                </c:pt>
                <c:pt idx="12">
                  <c:v>-6.1502979050547697E-3</c:v>
                </c:pt>
                <c:pt idx="13">
                  <c:v>-1.0328638497652501E-3</c:v>
                </c:pt>
                <c:pt idx="14">
                  <c:v>-7.8537426053331607E-3</c:v>
                </c:pt>
                <c:pt idx="15">
                  <c:v>0.245847176079734</c:v>
                </c:pt>
                <c:pt idx="16">
                  <c:v>-9.0909090909090898E-2</c:v>
                </c:pt>
                <c:pt idx="17">
                  <c:v>-1.2500000000000001E-2</c:v>
                </c:pt>
                <c:pt idx="18">
                  <c:v>-1.6094062708472301E-2</c:v>
                </c:pt>
                <c:pt idx="19">
                  <c:v>0.213310084277826</c:v>
                </c:pt>
                <c:pt idx="20">
                  <c:v>-0.17673888255416101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AC55-4C44-B630-DB473B3F42C3}"/>
            </c:ext>
          </c:extLst>
        </c:ser>
        <c:ser>
          <c:idx val="0"/>
          <c:order val="6"/>
          <c:tx>
            <c:strRef>
              <c:f>Sheet1!$F$241</c:f>
              <c:strCache>
                <c:ptCount val="1"/>
                <c:pt idx="0">
                  <c:v>Avg.64</c:v>
                </c:pt>
              </c:strCache>
            </c:strRef>
          </c:tx>
          <c:cat>
            <c:strRef>
              <c:f>Sheet1!$G$239:$AA$239</c:f>
              <c:strCache>
                <c:ptCount val="21"/>
                <c:pt idx="0">
                  <c:v>bcsstk10</c:v>
                </c:pt>
                <c:pt idx="1">
                  <c:v>bcsstk13</c:v>
                </c:pt>
                <c:pt idx="2">
                  <c:v>bcsstk17</c:v>
                </c:pt>
                <c:pt idx="3">
                  <c:v>c8_mat11</c:v>
                </c:pt>
                <c:pt idx="4">
                  <c:v>cq9</c:v>
                </c:pt>
                <c:pt idx="5">
                  <c:v>fv1</c:v>
                </c:pt>
                <c:pt idx="6">
                  <c:v>kl02</c:v>
                </c:pt>
                <c:pt idx="7">
                  <c:v>lhr34c</c:v>
                </c:pt>
                <c:pt idx="8">
                  <c:v>pdb1HYS</c:v>
                </c:pt>
                <c:pt idx="9">
                  <c:v>psmigr_1</c:v>
                </c:pt>
                <c:pt idx="10">
                  <c:v>wiki-Vote</c:v>
                </c:pt>
                <c:pt idx="11">
                  <c:v>ca-HepTh</c:v>
                </c:pt>
                <c:pt idx="12">
                  <c:v>p2p-Gnutella04</c:v>
                </c:pt>
                <c:pt idx="13">
                  <c:v>as-735</c:v>
                </c:pt>
                <c:pt idx="14">
                  <c:v>amazon0312</c:v>
                </c:pt>
                <c:pt idx="15">
                  <c:v>Chem97ZtZ</c:v>
                </c:pt>
                <c:pt idx="16">
                  <c:v>airfoil1</c:v>
                </c:pt>
                <c:pt idx="17">
                  <c:v>diag</c:v>
                </c:pt>
                <c:pt idx="18">
                  <c:v>crack</c:v>
                </c:pt>
                <c:pt idx="19">
                  <c:v>shock-9</c:v>
                </c:pt>
                <c:pt idx="20">
                  <c:v>big_dual</c:v>
                </c:pt>
              </c:strCache>
            </c:strRef>
          </c:cat>
          <c:val>
            <c:numRef>
              <c:f>Sheet1!$G$241:$AA$241</c:f>
              <c:numCache>
                <c:formatCode>General</c:formatCode>
                <c:ptCount val="21"/>
                <c:pt idx="0">
                  <c:v>5.3841921808640371E-2</c:v>
                </c:pt>
                <c:pt idx="1">
                  <c:v>5.3841921808640371E-2</c:v>
                </c:pt>
                <c:pt idx="2">
                  <c:v>5.3841921808640371E-2</c:v>
                </c:pt>
                <c:pt idx="3">
                  <c:v>5.3841921808640371E-2</c:v>
                </c:pt>
                <c:pt idx="4">
                  <c:v>5.3841921808640371E-2</c:v>
                </c:pt>
                <c:pt idx="5">
                  <c:v>5.3841921808640371E-2</c:v>
                </c:pt>
                <c:pt idx="6">
                  <c:v>5.3841921808640371E-2</c:v>
                </c:pt>
                <c:pt idx="7">
                  <c:v>5.3841921808640371E-2</c:v>
                </c:pt>
                <c:pt idx="8">
                  <c:v>5.3841921808640371E-2</c:v>
                </c:pt>
                <c:pt idx="9">
                  <c:v>5.3841921808640371E-2</c:v>
                </c:pt>
                <c:pt idx="10">
                  <c:v>5.3841921808640371E-2</c:v>
                </c:pt>
                <c:pt idx="11">
                  <c:v>5.3841921808640371E-2</c:v>
                </c:pt>
                <c:pt idx="12">
                  <c:v>5.3841921808640371E-2</c:v>
                </c:pt>
                <c:pt idx="13">
                  <c:v>5.3841921808640371E-2</c:v>
                </c:pt>
                <c:pt idx="14">
                  <c:v>5.3841921808640371E-2</c:v>
                </c:pt>
                <c:pt idx="15">
                  <c:v>5.3841921808640371E-2</c:v>
                </c:pt>
                <c:pt idx="16">
                  <c:v>5.3841921808640371E-2</c:v>
                </c:pt>
                <c:pt idx="17">
                  <c:v>5.3841921808640371E-2</c:v>
                </c:pt>
                <c:pt idx="18">
                  <c:v>5.3841921808640371E-2</c:v>
                </c:pt>
                <c:pt idx="19">
                  <c:v>5.3841921808640371E-2</c:v>
                </c:pt>
                <c:pt idx="20">
                  <c:v>5.3841921808640371E-2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AC55-4C44-B630-DB473B3F42C3}"/>
            </c:ext>
          </c:extLst>
        </c:ser>
        <c:ser>
          <c:idx val="1"/>
          <c:order val="7"/>
          <c:tx>
            <c:strRef>
              <c:f>Sheet1!$F$243</c:f>
              <c:strCache>
                <c:ptCount val="1"/>
                <c:pt idx="0">
                  <c:v>Avg.128</c:v>
                </c:pt>
              </c:strCache>
            </c:strRef>
          </c:tx>
          <c:cat>
            <c:strRef>
              <c:f>Sheet1!$G$239:$AA$239</c:f>
              <c:strCache>
                <c:ptCount val="21"/>
                <c:pt idx="0">
                  <c:v>bcsstk10</c:v>
                </c:pt>
                <c:pt idx="1">
                  <c:v>bcsstk13</c:v>
                </c:pt>
                <c:pt idx="2">
                  <c:v>bcsstk17</c:v>
                </c:pt>
                <c:pt idx="3">
                  <c:v>c8_mat11</c:v>
                </c:pt>
                <c:pt idx="4">
                  <c:v>cq9</c:v>
                </c:pt>
                <c:pt idx="5">
                  <c:v>fv1</c:v>
                </c:pt>
                <c:pt idx="6">
                  <c:v>kl02</c:v>
                </c:pt>
                <c:pt idx="7">
                  <c:v>lhr34c</c:v>
                </c:pt>
                <c:pt idx="8">
                  <c:v>pdb1HYS</c:v>
                </c:pt>
                <c:pt idx="9">
                  <c:v>psmigr_1</c:v>
                </c:pt>
                <c:pt idx="10">
                  <c:v>wiki-Vote</c:v>
                </c:pt>
                <c:pt idx="11">
                  <c:v>ca-HepTh</c:v>
                </c:pt>
                <c:pt idx="12">
                  <c:v>p2p-Gnutella04</c:v>
                </c:pt>
                <c:pt idx="13">
                  <c:v>as-735</c:v>
                </c:pt>
                <c:pt idx="14">
                  <c:v>amazon0312</c:v>
                </c:pt>
                <c:pt idx="15">
                  <c:v>Chem97ZtZ</c:v>
                </c:pt>
                <c:pt idx="16">
                  <c:v>airfoil1</c:v>
                </c:pt>
                <c:pt idx="17">
                  <c:v>diag</c:v>
                </c:pt>
                <c:pt idx="18">
                  <c:v>crack</c:v>
                </c:pt>
                <c:pt idx="19">
                  <c:v>shock-9</c:v>
                </c:pt>
                <c:pt idx="20">
                  <c:v>big_dual</c:v>
                </c:pt>
              </c:strCache>
            </c:strRef>
          </c:cat>
          <c:val>
            <c:numRef>
              <c:f>Sheet1!$G$243:$AA$243</c:f>
              <c:numCache>
                <c:formatCode>General</c:formatCode>
                <c:ptCount val="21"/>
                <c:pt idx="0">
                  <c:v>4.6284115579358534E-2</c:v>
                </c:pt>
                <c:pt idx="1">
                  <c:v>4.6284115579358534E-2</c:v>
                </c:pt>
                <c:pt idx="2">
                  <c:v>4.6284115579358534E-2</c:v>
                </c:pt>
                <c:pt idx="3">
                  <c:v>4.6284115579358534E-2</c:v>
                </c:pt>
                <c:pt idx="4">
                  <c:v>4.6284115579358534E-2</c:v>
                </c:pt>
                <c:pt idx="5">
                  <c:v>4.6284115579358534E-2</c:v>
                </c:pt>
                <c:pt idx="6">
                  <c:v>4.6284115579358534E-2</c:v>
                </c:pt>
                <c:pt idx="7">
                  <c:v>4.6284115579358534E-2</c:v>
                </c:pt>
                <c:pt idx="8">
                  <c:v>4.6284115579358534E-2</c:v>
                </c:pt>
                <c:pt idx="9">
                  <c:v>4.6284115579358534E-2</c:v>
                </c:pt>
                <c:pt idx="10">
                  <c:v>4.6284115579358534E-2</c:v>
                </c:pt>
                <c:pt idx="11">
                  <c:v>4.6284115579358534E-2</c:v>
                </c:pt>
                <c:pt idx="12">
                  <c:v>4.6284115579358534E-2</c:v>
                </c:pt>
                <c:pt idx="13">
                  <c:v>4.6284115579358534E-2</c:v>
                </c:pt>
                <c:pt idx="14">
                  <c:v>4.6284115579358534E-2</c:v>
                </c:pt>
                <c:pt idx="15">
                  <c:v>4.6284115579358534E-2</c:v>
                </c:pt>
                <c:pt idx="16">
                  <c:v>4.6284115579358534E-2</c:v>
                </c:pt>
                <c:pt idx="17">
                  <c:v>4.6284115579358534E-2</c:v>
                </c:pt>
                <c:pt idx="18">
                  <c:v>4.6284115579358534E-2</c:v>
                </c:pt>
                <c:pt idx="19">
                  <c:v>4.6284115579358534E-2</c:v>
                </c:pt>
                <c:pt idx="20">
                  <c:v>4.6284115579358534E-2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AC55-4C44-B630-DB473B3F42C3}"/>
            </c:ext>
          </c:extLst>
        </c:ser>
        <c:ser>
          <c:idx val="2"/>
          <c:order val="8"/>
          <c:tx>
            <c:strRef>
              <c:f>Sheet1!$F$245</c:f>
              <c:strCache>
                <c:ptCount val="1"/>
                <c:pt idx="0">
                  <c:v>Avg.256</c:v>
                </c:pt>
              </c:strCache>
            </c:strRef>
          </c:tx>
          <c:cat>
            <c:strRef>
              <c:f>Sheet1!$G$239:$AA$239</c:f>
              <c:strCache>
                <c:ptCount val="21"/>
                <c:pt idx="0">
                  <c:v>bcsstk10</c:v>
                </c:pt>
                <c:pt idx="1">
                  <c:v>bcsstk13</c:v>
                </c:pt>
                <c:pt idx="2">
                  <c:v>bcsstk17</c:v>
                </c:pt>
                <c:pt idx="3">
                  <c:v>c8_mat11</c:v>
                </c:pt>
                <c:pt idx="4">
                  <c:v>cq9</c:v>
                </c:pt>
                <c:pt idx="5">
                  <c:v>fv1</c:v>
                </c:pt>
                <c:pt idx="6">
                  <c:v>kl02</c:v>
                </c:pt>
                <c:pt idx="7">
                  <c:v>lhr34c</c:v>
                </c:pt>
                <c:pt idx="8">
                  <c:v>pdb1HYS</c:v>
                </c:pt>
                <c:pt idx="9">
                  <c:v>psmigr_1</c:v>
                </c:pt>
                <c:pt idx="10">
                  <c:v>wiki-Vote</c:v>
                </c:pt>
                <c:pt idx="11">
                  <c:v>ca-HepTh</c:v>
                </c:pt>
                <c:pt idx="12">
                  <c:v>p2p-Gnutella04</c:v>
                </c:pt>
                <c:pt idx="13">
                  <c:v>as-735</c:v>
                </c:pt>
                <c:pt idx="14">
                  <c:v>amazon0312</c:v>
                </c:pt>
                <c:pt idx="15">
                  <c:v>Chem97ZtZ</c:v>
                </c:pt>
                <c:pt idx="16">
                  <c:v>airfoil1</c:v>
                </c:pt>
                <c:pt idx="17">
                  <c:v>diag</c:v>
                </c:pt>
                <c:pt idx="18">
                  <c:v>crack</c:v>
                </c:pt>
                <c:pt idx="19">
                  <c:v>shock-9</c:v>
                </c:pt>
                <c:pt idx="20">
                  <c:v>big_dual</c:v>
                </c:pt>
              </c:strCache>
            </c:strRef>
          </c:cat>
          <c:val>
            <c:numRef>
              <c:f>Sheet1!$G$245:$AA$245</c:f>
              <c:numCache>
                <c:formatCode>General</c:formatCode>
                <c:ptCount val="21"/>
                <c:pt idx="0">
                  <c:v>4.2817199290670946E-2</c:v>
                </c:pt>
                <c:pt idx="1">
                  <c:v>4.2817199290670946E-2</c:v>
                </c:pt>
                <c:pt idx="2">
                  <c:v>4.2817199290670946E-2</c:v>
                </c:pt>
                <c:pt idx="3">
                  <c:v>4.2817199290670946E-2</c:v>
                </c:pt>
                <c:pt idx="4">
                  <c:v>4.2817199290670946E-2</c:v>
                </c:pt>
                <c:pt idx="5">
                  <c:v>4.2817199290670946E-2</c:v>
                </c:pt>
                <c:pt idx="6">
                  <c:v>4.2817199290670946E-2</c:v>
                </c:pt>
                <c:pt idx="7">
                  <c:v>4.2817199290670946E-2</c:v>
                </c:pt>
                <c:pt idx="8">
                  <c:v>4.2817199290670946E-2</c:v>
                </c:pt>
                <c:pt idx="9">
                  <c:v>4.2817199290670946E-2</c:v>
                </c:pt>
                <c:pt idx="10">
                  <c:v>4.2817199290670946E-2</c:v>
                </c:pt>
                <c:pt idx="11">
                  <c:v>4.2817199290670946E-2</c:v>
                </c:pt>
                <c:pt idx="12">
                  <c:v>4.2817199290670946E-2</c:v>
                </c:pt>
                <c:pt idx="13">
                  <c:v>4.2817199290670946E-2</c:v>
                </c:pt>
                <c:pt idx="14">
                  <c:v>4.2817199290670946E-2</c:v>
                </c:pt>
                <c:pt idx="15">
                  <c:v>4.2817199290670946E-2</c:v>
                </c:pt>
                <c:pt idx="16">
                  <c:v>4.2817199290670946E-2</c:v>
                </c:pt>
                <c:pt idx="17">
                  <c:v>4.2817199290670946E-2</c:v>
                </c:pt>
                <c:pt idx="18">
                  <c:v>4.2817199290670946E-2</c:v>
                </c:pt>
                <c:pt idx="19">
                  <c:v>4.2817199290670946E-2</c:v>
                </c:pt>
                <c:pt idx="20">
                  <c:v>4.2817199290670946E-2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AC55-4C44-B630-DB473B3F42C3}"/>
            </c:ext>
          </c:extLst>
        </c:ser>
        <c:ser>
          <c:idx val="3"/>
          <c:order val="9"/>
          <c:tx>
            <c:strRef>
              <c:f>Sheet1!$F$247</c:f>
              <c:strCache>
                <c:ptCount val="1"/>
                <c:pt idx="0">
                  <c:v>Avg.512</c:v>
                </c:pt>
              </c:strCache>
            </c:strRef>
          </c:tx>
          <c:cat>
            <c:strRef>
              <c:f>Sheet1!$G$239:$AA$239</c:f>
              <c:strCache>
                <c:ptCount val="21"/>
                <c:pt idx="0">
                  <c:v>bcsstk10</c:v>
                </c:pt>
                <c:pt idx="1">
                  <c:v>bcsstk13</c:v>
                </c:pt>
                <c:pt idx="2">
                  <c:v>bcsstk17</c:v>
                </c:pt>
                <c:pt idx="3">
                  <c:v>c8_mat11</c:v>
                </c:pt>
                <c:pt idx="4">
                  <c:v>cq9</c:v>
                </c:pt>
                <c:pt idx="5">
                  <c:v>fv1</c:v>
                </c:pt>
                <c:pt idx="6">
                  <c:v>kl02</c:v>
                </c:pt>
                <c:pt idx="7">
                  <c:v>lhr34c</c:v>
                </c:pt>
                <c:pt idx="8">
                  <c:v>pdb1HYS</c:v>
                </c:pt>
                <c:pt idx="9">
                  <c:v>psmigr_1</c:v>
                </c:pt>
                <c:pt idx="10">
                  <c:v>wiki-Vote</c:v>
                </c:pt>
                <c:pt idx="11">
                  <c:v>ca-HepTh</c:v>
                </c:pt>
                <c:pt idx="12">
                  <c:v>p2p-Gnutella04</c:v>
                </c:pt>
                <c:pt idx="13">
                  <c:v>as-735</c:v>
                </c:pt>
                <c:pt idx="14">
                  <c:v>amazon0312</c:v>
                </c:pt>
                <c:pt idx="15">
                  <c:v>Chem97ZtZ</c:v>
                </c:pt>
                <c:pt idx="16">
                  <c:v>airfoil1</c:v>
                </c:pt>
                <c:pt idx="17">
                  <c:v>diag</c:v>
                </c:pt>
                <c:pt idx="18">
                  <c:v>crack</c:v>
                </c:pt>
                <c:pt idx="19">
                  <c:v>shock-9</c:v>
                </c:pt>
                <c:pt idx="20">
                  <c:v>big_dual</c:v>
                </c:pt>
              </c:strCache>
            </c:strRef>
          </c:cat>
          <c:val>
            <c:numRef>
              <c:f>Sheet1!$G$247:$AA$247</c:f>
              <c:numCache>
                <c:formatCode>General</c:formatCode>
                <c:ptCount val="21"/>
                <c:pt idx="0">
                  <c:v>4.579184056768057E-2</c:v>
                </c:pt>
                <c:pt idx="1">
                  <c:v>4.579184056768057E-2</c:v>
                </c:pt>
                <c:pt idx="2">
                  <c:v>4.579184056768057E-2</c:v>
                </c:pt>
                <c:pt idx="3">
                  <c:v>4.579184056768057E-2</c:v>
                </c:pt>
                <c:pt idx="4">
                  <c:v>4.579184056768057E-2</c:v>
                </c:pt>
                <c:pt idx="5">
                  <c:v>4.579184056768057E-2</c:v>
                </c:pt>
                <c:pt idx="6">
                  <c:v>4.579184056768057E-2</c:v>
                </c:pt>
                <c:pt idx="7">
                  <c:v>4.579184056768057E-2</c:v>
                </c:pt>
                <c:pt idx="8">
                  <c:v>4.579184056768057E-2</c:v>
                </c:pt>
                <c:pt idx="9">
                  <c:v>4.579184056768057E-2</c:v>
                </c:pt>
                <c:pt idx="10">
                  <c:v>4.579184056768057E-2</c:v>
                </c:pt>
                <c:pt idx="11">
                  <c:v>4.579184056768057E-2</c:v>
                </c:pt>
                <c:pt idx="12">
                  <c:v>4.579184056768057E-2</c:v>
                </c:pt>
                <c:pt idx="13">
                  <c:v>4.579184056768057E-2</c:v>
                </c:pt>
                <c:pt idx="14">
                  <c:v>4.579184056768057E-2</c:v>
                </c:pt>
                <c:pt idx="15">
                  <c:v>4.579184056768057E-2</c:v>
                </c:pt>
                <c:pt idx="16">
                  <c:v>4.579184056768057E-2</c:v>
                </c:pt>
                <c:pt idx="17">
                  <c:v>4.579184056768057E-2</c:v>
                </c:pt>
                <c:pt idx="18">
                  <c:v>4.579184056768057E-2</c:v>
                </c:pt>
                <c:pt idx="19">
                  <c:v>4.579184056768057E-2</c:v>
                </c:pt>
                <c:pt idx="20">
                  <c:v>4.579184056768057E-2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AC55-4C44-B630-DB473B3F42C3}"/>
            </c:ext>
          </c:extLst>
        </c:ser>
        <c:ser>
          <c:idx val="4"/>
          <c:order val="10"/>
          <c:tx>
            <c:strRef>
              <c:f>Sheet1!$F$249</c:f>
              <c:strCache>
                <c:ptCount val="1"/>
                <c:pt idx="0">
                  <c:v>Avg.1024</c:v>
                </c:pt>
              </c:strCache>
            </c:strRef>
          </c:tx>
          <c:cat>
            <c:strRef>
              <c:f>Sheet1!$G$239:$AA$239</c:f>
              <c:strCache>
                <c:ptCount val="21"/>
                <c:pt idx="0">
                  <c:v>bcsstk10</c:v>
                </c:pt>
                <c:pt idx="1">
                  <c:v>bcsstk13</c:v>
                </c:pt>
                <c:pt idx="2">
                  <c:v>bcsstk17</c:v>
                </c:pt>
                <c:pt idx="3">
                  <c:v>c8_mat11</c:v>
                </c:pt>
                <c:pt idx="4">
                  <c:v>cq9</c:v>
                </c:pt>
                <c:pt idx="5">
                  <c:v>fv1</c:v>
                </c:pt>
                <c:pt idx="6">
                  <c:v>kl02</c:v>
                </c:pt>
                <c:pt idx="7">
                  <c:v>lhr34c</c:v>
                </c:pt>
                <c:pt idx="8">
                  <c:v>pdb1HYS</c:v>
                </c:pt>
                <c:pt idx="9">
                  <c:v>psmigr_1</c:v>
                </c:pt>
                <c:pt idx="10">
                  <c:v>wiki-Vote</c:v>
                </c:pt>
                <c:pt idx="11">
                  <c:v>ca-HepTh</c:v>
                </c:pt>
                <c:pt idx="12">
                  <c:v>p2p-Gnutella04</c:v>
                </c:pt>
                <c:pt idx="13">
                  <c:v>as-735</c:v>
                </c:pt>
                <c:pt idx="14">
                  <c:v>amazon0312</c:v>
                </c:pt>
                <c:pt idx="15">
                  <c:v>Chem97ZtZ</c:v>
                </c:pt>
                <c:pt idx="16">
                  <c:v>airfoil1</c:v>
                </c:pt>
                <c:pt idx="17">
                  <c:v>diag</c:v>
                </c:pt>
                <c:pt idx="18">
                  <c:v>crack</c:v>
                </c:pt>
                <c:pt idx="19">
                  <c:v>shock-9</c:v>
                </c:pt>
                <c:pt idx="20">
                  <c:v>big_dual</c:v>
                </c:pt>
              </c:strCache>
            </c:strRef>
          </c:cat>
          <c:val>
            <c:numRef>
              <c:f>Sheet1!$G$249:$AA$249</c:f>
              <c:numCache>
                <c:formatCode>General</c:formatCode>
                <c:ptCount val="21"/>
                <c:pt idx="0">
                  <c:v>4.6650382358303613E-2</c:v>
                </c:pt>
                <c:pt idx="1">
                  <c:v>4.6650382358303613E-2</c:v>
                </c:pt>
                <c:pt idx="2">
                  <c:v>4.6650382358303613E-2</c:v>
                </c:pt>
                <c:pt idx="3">
                  <c:v>4.6650382358303613E-2</c:v>
                </c:pt>
                <c:pt idx="4">
                  <c:v>4.6650382358303613E-2</c:v>
                </c:pt>
                <c:pt idx="5">
                  <c:v>4.6650382358303613E-2</c:v>
                </c:pt>
                <c:pt idx="6">
                  <c:v>4.6650382358303613E-2</c:v>
                </c:pt>
                <c:pt idx="7">
                  <c:v>4.6650382358303613E-2</c:v>
                </c:pt>
                <c:pt idx="8">
                  <c:v>4.6650382358303613E-2</c:v>
                </c:pt>
                <c:pt idx="9">
                  <c:v>4.6650382358303613E-2</c:v>
                </c:pt>
                <c:pt idx="10">
                  <c:v>4.6650382358303613E-2</c:v>
                </c:pt>
                <c:pt idx="11">
                  <c:v>4.6650382358303613E-2</c:v>
                </c:pt>
                <c:pt idx="12">
                  <c:v>4.6650382358303613E-2</c:v>
                </c:pt>
                <c:pt idx="13">
                  <c:v>4.6650382358303613E-2</c:v>
                </c:pt>
                <c:pt idx="14">
                  <c:v>4.6650382358303613E-2</c:v>
                </c:pt>
                <c:pt idx="15">
                  <c:v>4.6650382358303613E-2</c:v>
                </c:pt>
                <c:pt idx="16">
                  <c:v>4.6650382358303613E-2</c:v>
                </c:pt>
                <c:pt idx="17">
                  <c:v>4.6650382358303613E-2</c:v>
                </c:pt>
                <c:pt idx="18">
                  <c:v>4.6650382358303613E-2</c:v>
                </c:pt>
                <c:pt idx="19">
                  <c:v>4.6650382358303613E-2</c:v>
                </c:pt>
                <c:pt idx="20">
                  <c:v>4.6650382358303613E-2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AC55-4C44-B630-DB473B3F42C3}"/>
            </c:ext>
          </c:extLst>
        </c:ser>
        <c:ser>
          <c:idx val="5"/>
          <c:order val="11"/>
          <c:tx>
            <c:strRef>
              <c:f>Sheet1!$F$251</c:f>
              <c:strCache>
                <c:ptCount val="1"/>
                <c:pt idx="0">
                  <c:v>Avg.2048</c:v>
                </c:pt>
              </c:strCache>
            </c:strRef>
          </c:tx>
          <c:cat>
            <c:strRef>
              <c:f>Sheet1!$G$239:$AA$239</c:f>
              <c:strCache>
                <c:ptCount val="21"/>
                <c:pt idx="0">
                  <c:v>bcsstk10</c:v>
                </c:pt>
                <c:pt idx="1">
                  <c:v>bcsstk13</c:v>
                </c:pt>
                <c:pt idx="2">
                  <c:v>bcsstk17</c:v>
                </c:pt>
                <c:pt idx="3">
                  <c:v>c8_mat11</c:v>
                </c:pt>
                <c:pt idx="4">
                  <c:v>cq9</c:v>
                </c:pt>
                <c:pt idx="5">
                  <c:v>fv1</c:v>
                </c:pt>
                <c:pt idx="6">
                  <c:v>kl02</c:v>
                </c:pt>
                <c:pt idx="7">
                  <c:v>lhr34c</c:v>
                </c:pt>
                <c:pt idx="8">
                  <c:v>pdb1HYS</c:v>
                </c:pt>
                <c:pt idx="9">
                  <c:v>psmigr_1</c:v>
                </c:pt>
                <c:pt idx="10">
                  <c:v>wiki-Vote</c:v>
                </c:pt>
                <c:pt idx="11">
                  <c:v>ca-HepTh</c:v>
                </c:pt>
                <c:pt idx="12">
                  <c:v>p2p-Gnutella04</c:v>
                </c:pt>
                <c:pt idx="13">
                  <c:v>as-735</c:v>
                </c:pt>
                <c:pt idx="14">
                  <c:v>amazon0312</c:v>
                </c:pt>
                <c:pt idx="15">
                  <c:v>Chem97ZtZ</c:v>
                </c:pt>
                <c:pt idx="16">
                  <c:v>airfoil1</c:v>
                </c:pt>
                <c:pt idx="17">
                  <c:v>diag</c:v>
                </c:pt>
                <c:pt idx="18">
                  <c:v>crack</c:v>
                </c:pt>
                <c:pt idx="19">
                  <c:v>shock-9</c:v>
                </c:pt>
                <c:pt idx="20">
                  <c:v>big_dual</c:v>
                </c:pt>
              </c:strCache>
            </c:strRef>
          </c:cat>
          <c:val>
            <c:numRef>
              <c:f>Sheet1!$G$251:$AA$251</c:f>
              <c:numCache>
                <c:formatCode>General</c:formatCode>
                <c:ptCount val="21"/>
                <c:pt idx="0">
                  <c:v>4.3252433282472046E-2</c:v>
                </c:pt>
                <c:pt idx="1">
                  <c:v>4.3252433282472046E-2</c:v>
                </c:pt>
                <c:pt idx="2">
                  <c:v>4.3252433282472046E-2</c:v>
                </c:pt>
                <c:pt idx="3">
                  <c:v>4.3252433282472046E-2</c:v>
                </c:pt>
                <c:pt idx="4">
                  <c:v>4.3252433282472046E-2</c:v>
                </c:pt>
                <c:pt idx="5">
                  <c:v>4.3252433282472046E-2</c:v>
                </c:pt>
                <c:pt idx="6">
                  <c:v>4.3252433282472046E-2</c:v>
                </c:pt>
                <c:pt idx="7">
                  <c:v>4.3252433282472046E-2</c:v>
                </c:pt>
                <c:pt idx="8">
                  <c:v>4.3252433282472046E-2</c:v>
                </c:pt>
                <c:pt idx="9">
                  <c:v>4.3252433282472046E-2</c:v>
                </c:pt>
                <c:pt idx="10">
                  <c:v>4.3252433282472046E-2</c:v>
                </c:pt>
                <c:pt idx="11">
                  <c:v>4.3252433282472046E-2</c:v>
                </c:pt>
                <c:pt idx="12">
                  <c:v>4.3252433282472046E-2</c:v>
                </c:pt>
                <c:pt idx="13">
                  <c:v>4.3252433282472046E-2</c:v>
                </c:pt>
                <c:pt idx="14">
                  <c:v>4.3252433282472046E-2</c:v>
                </c:pt>
                <c:pt idx="15">
                  <c:v>4.3252433282472046E-2</c:v>
                </c:pt>
                <c:pt idx="16">
                  <c:v>4.3252433282472046E-2</c:v>
                </c:pt>
                <c:pt idx="17">
                  <c:v>4.3252433282472046E-2</c:v>
                </c:pt>
                <c:pt idx="18">
                  <c:v>4.3252433282472046E-2</c:v>
                </c:pt>
                <c:pt idx="19">
                  <c:v>4.3252433282472046E-2</c:v>
                </c:pt>
                <c:pt idx="20">
                  <c:v>4.3252433282472046E-2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AC55-4C44-B630-DB473B3F42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5729599"/>
        <c:axId val="1177765871"/>
      </c:lineChart>
      <c:catAx>
        <c:axId val="725729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Matrix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7765871"/>
        <c:crossesAt val="-1"/>
        <c:auto val="1"/>
        <c:lblAlgn val="ctr"/>
        <c:lblOffset val="100"/>
        <c:noMultiLvlLbl val="0"/>
      </c:catAx>
      <c:valAx>
        <c:axId val="1177765871"/>
        <c:scaling>
          <c:orientation val="minMax"/>
          <c:max val="0.5"/>
          <c:min val="-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Memory</a:t>
                </a:r>
                <a:r>
                  <a:rPr lang="en-US" baseline="0"/>
                  <a:t> Access Reduction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5729599"/>
        <c:crosses val="autoZero"/>
        <c:crossBetween val="between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Page</a:t>
            </a:r>
            <a:r>
              <a:rPr lang="en-US" baseline="0"/>
              <a:t> Size = 64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6"/>
          <c:order val="0"/>
          <c:tx>
            <c:strRef>
              <c:f>Sheet1!$D$254</c:f>
              <c:strCache>
                <c:ptCount val="1"/>
                <c:pt idx="0">
                  <c:v>64</c:v>
                </c:pt>
              </c:strCache>
            </c:strRef>
          </c:tx>
          <c:cat>
            <c:strRef>
              <c:f>Sheet1!$G$239:$AA$239</c:f>
              <c:strCache>
                <c:ptCount val="21"/>
                <c:pt idx="0">
                  <c:v>bcsstk10</c:v>
                </c:pt>
                <c:pt idx="1">
                  <c:v>bcsstk13</c:v>
                </c:pt>
                <c:pt idx="2">
                  <c:v>bcsstk17</c:v>
                </c:pt>
                <c:pt idx="3">
                  <c:v>c8_mat11</c:v>
                </c:pt>
                <c:pt idx="4">
                  <c:v>cq9</c:v>
                </c:pt>
                <c:pt idx="5">
                  <c:v>fv1</c:v>
                </c:pt>
                <c:pt idx="6">
                  <c:v>kl02</c:v>
                </c:pt>
                <c:pt idx="7">
                  <c:v>lhr34c</c:v>
                </c:pt>
                <c:pt idx="8">
                  <c:v>pdb1HYS</c:v>
                </c:pt>
                <c:pt idx="9">
                  <c:v>psmigr_1</c:v>
                </c:pt>
                <c:pt idx="10">
                  <c:v>wiki-Vote</c:v>
                </c:pt>
                <c:pt idx="11">
                  <c:v>ca-HepTh</c:v>
                </c:pt>
                <c:pt idx="12">
                  <c:v>p2p-Gnutella04</c:v>
                </c:pt>
                <c:pt idx="13">
                  <c:v>as-735</c:v>
                </c:pt>
                <c:pt idx="14">
                  <c:v>amazon0312</c:v>
                </c:pt>
                <c:pt idx="15">
                  <c:v>Chem97ZtZ</c:v>
                </c:pt>
                <c:pt idx="16">
                  <c:v>airfoil1</c:v>
                </c:pt>
                <c:pt idx="17">
                  <c:v>diag</c:v>
                </c:pt>
                <c:pt idx="18">
                  <c:v>crack</c:v>
                </c:pt>
                <c:pt idx="19">
                  <c:v>shock-9</c:v>
                </c:pt>
                <c:pt idx="20">
                  <c:v>big_dual</c:v>
                </c:pt>
              </c:strCache>
            </c:strRef>
          </c:cat>
          <c:val>
            <c:numRef>
              <c:f>Sheet1!$G$254:$AA$254</c:f>
              <c:numCache>
                <c:formatCode>General</c:formatCode>
                <c:ptCount val="21"/>
                <c:pt idx="0">
                  <c:v>0</c:v>
                </c:pt>
                <c:pt idx="1">
                  <c:v>9.3525179856115095E-2</c:v>
                </c:pt>
                <c:pt idx="2">
                  <c:v>0.37918552036198999</c:v>
                </c:pt>
                <c:pt idx="3">
                  <c:v>-0.25112545018007199</c:v>
                </c:pt>
                <c:pt idx="4">
                  <c:v>-4.4548395558275701E-2</c:v>
                </c:pt>
                <c:pt idx="5">
                  <c:v>0</c:v>
                </c:pt>
                <c:pt idx="6">
                  <c:v>-1.2432923789695899E-2</c:v>
                </c:pt>
                <c:pt idx="7">
                  <c:v>1.98321891685736E-2</c:v>
                </c:pt>
                <c:pt idx="8">
                  <c:v>0.376465284039675</c:v>
                </c:pt>
                <c:pt idx="9">
                  <c:v>0.15450643776824</c:v>
                </c:pt>
                <c:pt idx="10">
                  <c:v>-2.0233379723798298E-2</c:v>
                </c:pt>
                <c:pt idx="11">
                  <c:v>-6.13973182780522E-3</c:v>
                </c:pt>
                <c:pt idx="12">
                  <c:v>1.67610770543959E-2</c:v>
                </c:pt>
                <c:pt idx="13">
                  <c:v>2.2258064516129002E-2</c:v>
                </c:pt>
                <c:pt idx="14">
                  <c:v>8.1131374073852502E-4</c:v>
                </c:pt>
                <c:pt idx="15">
                  <c:v>0.40225563909774398</c:v>
                </c:pt>
                <c:pt idx="16">
                  <c:v>0</c:v>
                </c:pt>
                <c:pt idx="17">
                  <c:v>0</c:v>
                </c:pt>
                <c:pt idx="18">
                  <c:v>8.5305448541552007E-3</c:v>
                </c:pt>
                <c:pt idx="19">
                  <c:v>9.0909090909090898E-2</c:v>
                </c:pt>
                <c:pt idx="20">
                  <c:v>2.63522884882108E-2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5C8-48D1-8718-AE8DF77999A3}"/>
            </c:ext>
          </c:extLst>
        </c:ser>
        <c:ser>
          <c:idx val="7"/>
          <c:order val="1"/>
          <c:tx>
            <c:strRef>
              <c:f>Sheet1!$D$256</c:f>
              <c:strCache>
                <c:ptCount val="1"/>
                <c:pt idx="0">
                  <c:v>128</c:v>
                </c:pt>
              </c:strCache>
            </c:strRef>
          </c:tx>
          <c:cat>
            <c:strRef>
              <c:f>Sheet1!$G$239:$AA$239</c:f>
              <c:strCache>
                <c:ptCount val="21"/>
                <c:pt idx="0">
                  <c:v>bcsstk10</c:v>
                </c:pt>
                <c:pt idx="1">
                  <c:v>bcsstk13</c:v>
                </c:pt>
                <c:pt idx="2">
                  <c:v>bcsstk17</c:v>
                </c:pt>
                <c:pt idx="3">
                  <c:v>c8_mat11</c:v>
                </c:pt>
                <c:pt idx="4">
                  <c:v>cq9</c:v>
                </c:pt>
                <c:pt idx="5">
                  <c:v>fv1</c:v>
                </c:pt>
                <c:pt idx="6">
                  <c:v>kl02</c:v>
                </c:pt>
                <c:pt idx="7">
                  <c:v>lhr34c</c:v>
                </c:pt>
                <c:pt idx="8">
                  <c:v>pdb1HYS</c:v>
                </c:pt>
                <c:pt idx="9">
                  <c:v>psmigr_1</c:v>
                </c:pt>
                <c:pt idx="10">
                  <c:v>wiki-Vote</c:v>
                </c:pt>
                <c:pt idx="11">
                  <c:v>ca-HepTh</c:v>
                </c:pt>
                <c:pt idx="12">
                  <c:v>p2p-Gnutella04</c:v>
                </c:pt>
                <c:pt idx="13">
                  <c:v>as-735</c:v>
                </c:pt>
                <c:pt idx="14">
                  <c:v>amazon0312</c:v>
                </c:pt>
                <c:pt idx="15">
                  <c:v>Chem97ZtZ</c:v>
                </c:pt>
                <c:pt idx="16">
                  <c:v>airfoil1</c:v>
                </c:pt>
                <c:pt idx="17">
                  <c:v>diag</c:v>
                </c:pt>
                <c:pt idx="18">
                  <c:v>crack</c:v>
                </c:pt>
                <c:pt idx="19">
                  <c:v>shock-9</c:v>
                </c:pt>
                <c:pt idx="20">
                  <c:v>big_dual</c:v>
                </c:pt>
              </c:strCache>
            </c:strRef>
          </c:cat>
          <c:val>
            <c:numRef>
              <c:f>Sheet1!$G$256:$AA$256</c:f>
              <c:numCache>
                <c:formatCode>General</c:formatCode>
                <c:ptCount val="21"/>
                <c:pt idx="0">
                  <c:v>0</c:v>
                </c:pt>
                <c:pt idx="1">
                  <c:v>9.3525179856115095E-2</c:v>
                </c:pt>
                <c:pt idx="2">
                  <c:v>0.27873303167420799</c:v>
                </c:pt>
                <c:pt idx="3">
                  <c:v>2.49099639855942E-2</c:v>
                </c:pt>
                <c:pt idx="4">
                  <c:v>3.0602430707353301E-4</c:v>
                </c:pt>
                <c:pt idx="5">
                  <c:v>-3.3277870216306101E-3</c:v>
                </c:pt>
                <c:pt idx="6">
                  <c:v>-1.5805061138316201E-2</c:v>
                </c:pt>
                <c:pt idx="7">
                  <c:v>-6.1022120518688001E-3</c:v>
                </c:pt>
                <c:pt idx="8">
                  <c:v>0.27892996693717997</c:v>
                </c:pt>
                <c:pt idx="9">
                  <c:v>0.15450643776824</c:v>
                </c:pt>
                <c:pt idx="10">
                  <c:v>1.15619312707418E-2</c:v>
                </c:pt>
                <c:pt idx="11">
                  <c:v>-4.5165843330980896E-3</c:v>
                </c:pt>
                <c:pt idx="12">
                  <c:v>-5.3542329479320198E-3</c:v>
                </c:pt>
                <c:pt idx="13">
                  <c:v>1.1129032258064501E-2</c:v>
                </c:pt>
                <c:pt idx="14">
                  <c:v>-2.8104890742370698E-3</c:v>
                </c:pt>
                <c:pt idx="15">
                  <c:v>0.40225563909774398</c:v>
                </c:pt>
                <c:pt idx="16">
                  <c:v>0</c:v>
                </c:pt>
                <c:pt idx="17">
                  <c:v>0</c:v>
                </c:pt>
                <c:pt idx="18">
                  <c:v>-3.6736378646119901E-2</c:v>
                </c:pt>
                <c:pt idx="19">
                  <c:v>3.5885167464114798E-2</c:v>
                </c:pt>
                <c:pt idx="20">
                  <c:v>-9.66250577901063E-2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5C8-48D1-8718-AE8DF77999A3}"/>
            </c:ext>
          </c:extLst>
        </c:ser>
        <c:ser>
          <c:idx val="8"/>
          <c:order val="2"/>
          <c:tx>
            <c:strRef>
              <c:f>Sheet1!$D$258</c:f>
              <c:strCache>
                <c:ptCount val="1"/>
                <c:pt idx="0">
                  <c:v>256</c:v>
                </c:pt>
              </c:strCache>
            </c:strRef>
          </c:tx>
          <c:cat>
            <c:strRef>
              <c:f>Sheet1!$G$239:$AA$239</c:f>
              <c:strCache>
                <c:ptCount val="21"/>
                <c:pt idx="0">
                  <c:v>bcsstk10</c:v>
                </c:pt>
                <c:pt idx="1">
                  <c:v>bcsstk13</c:v>
                </c:pt>
                <c:pt idx="2">
                  <c:v>bcsstk17</c:v>
                </c:pt>
                <c:pt idx="3">
                  <c:v>c8_mat11</c:v>
                </c:pt>
                <c:pt idx="4">
                  <c:v>cq9</c:v>
                </c:pt>
                <c:pt idx="5">
                  <c:v>fv1</c:v>
                </c:pt>
                <c:pt idx="6">
                  <c:v>kl02</c:v>
                </c:pt>
                <c:pt idx="7">
                  <c:v>lhr34c</c:v>
                </c:pt>
                <c:pt idx="8">
                  <c:v>pdb1HYS</c:v>
                </c:pt>
                <c:pt idx="9">
                  <c:v>psmigr_1</c:v>
                </c:pt>
                <c:pt idx="10">
                  <c:v>wiki-Vote</c:v>
                </c:pt>
                <c:pt idx="11">
                  <c:v>ca-HepTh</c:v>
                </c:pt>
                <c:pt idx="12">
                  <c:v>p2p-Gnutella04</c:v>
                </c:pt>
                <c:pt idx="13">
                  <c:v>as-735</c:v>
                </c:pt>
                <c:pt idx="14">
                  <c:v>amazon0312</c:v>
                </c:pt>
                <c:pt idx="15">
                  <c:v>Chem97ZtZ</c:v>
                </c:pt>
                <c:pt idx="16">
                  <c:v>airfoil1</c:v>
                </c:pt>
                <c:pt idx="17">
                  <c:v>diag</c:v>
                </c:pt>
                <c:pt idx="18">
                  <c:v>crack</c:v>
                </c:pt>
                <c:pt idx="19">
                  <c:v>shock-9</c:v>
                </c:pt>
                <c:pt idx="20">
                  <c:v>big_dual</c:v>
                </c:pt>
              </c:strCache>
            </c:strRef>
          </c:cat>
          <c:val>
            <c:numRef>
              <c:f>Sheet1!$G$258:$AA$258</c:f>
              <c:numCache>
                <c:formatCode>General</c:formatCode>
                <c:ptCount val="21"/>
                <c:pt idx="0">
                  <c:v>0</c:v>
                </c:pt>
                <c:pt idx="1">
                  <c:v>9.3525179856115095E-2</c:v>
                </c:pt>
                <c:pt idx="2">
                  <c:v>0.25972850678733</c:v>
                </c:pt>
                <c:pt idx="3">
                  <c:v>2.4159663865546199E-2</c:v>
                </c:pt>
                <c:pt idx="4">
                  <c:v>-4.1094692664160101E-3</c:v>
                </c:pt>
                <c:pt idx="5">
                  <c:v>0</c:v>
                </c:pt>
                <c:pt idx="6">
                  <c:v>-1.41922997976717E-2</c:v>
                </c:pt>
                <c:pt idx="7">
                  <c:v>-7.6277650648360002E-4</c:v>
                </c:pt>
                <c:pt idx="8">
                  <c:v>0.25217914036669598</c:v>
                </c:pt>
                <c:pt idx="9">
                  <c:v>0.15450643776824</c:v>
                </c:pt>
                <c:pt idx="10">
                  <c:v>-4.8174713628091198E-3</c:v>
                </c:pt>
                <c:pt idx="11">
                  <c:v>-7.7628793225123496E-3</c:v>
                </c:pt>
                <c:pt idx="12">
                  <c:v>-6.82858694808722E-3</c:v>
                </c:pt>
                <c:pt idx="13">
                  <c:v>2.09677419354838E-3</c:v>
                </c:pt>
                <c:pt idx="14">
                  <c:v>-3.5860174162728399E-3</c:v>
                </c:pt>
                <c:pt idx="15">
                  <c:v>0.40225563909774398</c:v>
                </c:pt>
                <c:pt idx="16">
                  <c:v>0</c:v>
                </c:pt>
                <c:pt idx="17">
                  <c:v>0</c:v>
                </c:pt>
                <c:pt idx="18">
                  <c:v>-3.8800220143092999E-2</c:v>
                </c:pt>
                <c:pt idx="19">
                  <c:v>2.6315789473684199E-2</c:v>
                </c:pt>
                <c:pt idx="20">
                  <c:v>-0.120203421174294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5C8-48D1-8718-AE8DF77999A3}"/>
            </c:ext>
          </c:extLst>
        </c:ser>
        <c:ser>
          <c:idx val="9"/>
          <c:order val="3"/>
          <c:tx>
            <c:strRef>
              <c:f>Sheet1!$D$260</c:f>
              <c:strCache>
                <c:ptCount val="1"/>
                <c:pt idx="0">
                  <c:v>512</c:v>
                </c:pt>
              </c:strCache>
            </c:strRef>
          </c:tx>
          <c:cat>
            <c:strRef>
              <c:f>Sheet1!$G$239:$AA$239</c:f>
              <c:strCache>
                <c:ptCount val="21"/>
                <c:pt idx="0">
                  <c:v>bcsstk10</c:v>
                </c:pt>
                <c:pt idx="1">
                  <c:v>bcsstk13</c:v>
                </c:pt>
                <c:pt idx="2">
                  <c:v>bcsstk17</c:v>
                </c:pt>
                <c:pt idx="3">
                  <c:v>c8_mat11</c:v>
                </c:pt>
                <c:pt idx="4">
                  <c:v>cq9</c:v>
                </c:pt>
                <c:pt idx="5">
                  <c:v>fv1</c:v>
                </c:pt>
                <c:pt idx="6">
                  <c:v>kl02</c:v>
                </c:pt>
                <c:pt idx="7">
                  <c:v>lhr34c</c:v>
                </c:pt>
                <c:pt idx="8">
                  <c:v>pdb1HYS</c:v>
                </c:pt>
                <c:pt idx="9">
                  <c:v>psmigr_1</c:v>
                </c:pt>
                <c:pt idx="10">
                  <c:v>wiki-Vote</c:v>
                </c:pt>
                <c:pt idx="11">
                  <c:v>ca-HepTh</c:v>
                </c:pt>
                <c:pt idx="12">
                  <c:v>p2p-Gnutella04</c:v>
                </c:pt>
                <c:pt idx="13">
                  <c:v>as-735</c:v>
                </c:pt>
                <c:pt idx="14">
                  <c:v>amazon0312</c:v>
                </c:pt>
                <c:pt idx="15">
                  <c:v>Chem97ZtZ</c:v>
                </c:pt>
                <c:pt idx="16">
                  <c:v>airfoil1</c:v>
                </c:pt>
                <c:pt idx="17">
                  <c:v>diag</c:v>
                </c:pt>
                <c:pt idx="18">
                  <c:v>crack</c:v>
                </c:pt>
                <c:pt idx="19">
                  <c:v>shock-9</c:v>
                </c:pt>
                <c:pt idx="20">
                  <c:v>big_dual</c:v>
                </c:pt>
              </c:strCache>
            </c:strRef>
          </c:cat>
          <c:val>
            <c:numRef>
              <c:f>Sheet1!$G$260:$AA$260</c:f>
              <c:numCache>
                <c:formatCode>General</c:formatCode>
                <c:ptCount val="21"/>
                <c:pt idx="0">
                  <c:v>0</c:v>
                </c:pt>
                <c:pt idx="1">
                  <c:v>9.3525179856115095E-2</c:v>
                </c:pt>
                <c:pt idx="2">
                  <c:v>0.24796380090497699</c:v>
                </c:pt>
                <c:pt idx="3">
                  <c:v>1.17797118847539E-2</c:v>
                </c:pt>
                <c:pt idx="4">
                  <c:v>-9.3993180029727993E-3</c:v>
                </c:pt>
                <c:pt idx="5">
                  <c:v>0</c:v>
                </c:pt>
                <c:pt idx="6">
                  <c:v>-1.38697475295428E-2</c:v>
                </c:pt>
                <c:pt idx="7">
                  <c:v>-1.22044241037376E-2</c:v>
                </c:pt>
                <c:pt idx="8">
                  <c:v>0.23850315599639299</c:v>
                </c:pt>
                <c:pt idx="9">
                  <c:v>0.15450643776824</c:v>
                </c:pt>
                <c:pt idx="10">
                  <c:v>-8.8320308318167208E-3</c:v>
                </c:pt>
                <c:pt idx="11">
                  <c:v>-7.5158786167960397E-3</c:v>
                </c:pt>
                <c:pt idx="12">
                  <c:v>1.5519515791107301E-3</c:v>
                </c:pt>
                <c:pt idx="13">
                  <c:v>6.1290322580645103E-3</c:v>
                </c:pt>
                <c:pt idx="14">
                  <c:v>-4.4646290709896798E-3</c:v>
                </c:pt>
                <c:pt idx="15">
                  <c:v>0.40225563909774398</c:v>
                </c:pt>
                <c:pt idx="16">
                  <c:v>0</c:v>
                </c:pt>
                <c:pt idx="17">
                  <c:v>0</c:v>
                </c:pt>
                <c:pt idx="18">
                  <c:v>-4.5542102366538197E-2</c:v>
                </c:pt>
                <c:pt idx="19">
                  <c:v>2.23285486443381E-2</c:v>
                </c:pt>
                <c:pt idx="20">
                  <c:v>-0.115580212667591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5C8-48D1-8718-AE8DF77999A3}"/>
            </c:ext>
          </c:extLst>
        </c:ser>
        <c:ser>
          <c:idx val="10"/>
          <c:order val="4"/>
          <c:tx>
            <c:strRef>
              <c:f>Sheet1!$D$262</c:f>
              <c:strCache>
                <c:ptCount val="1"/>
                <c:pt idx="0">
                  <c:v>1024</c:v>
                </c:pt>
              </c:strCache>
            </c:strRef>
          </c:tx>
          <c:cat>
            <c:strRef>
              <c:f>Sheet1!$G$239:$AA$239</c:f>
              <c:strCache>
                <c:ptCount val="21"/>
                <c:pt idx="0">
                  <c:v>bcsstk10</c:v>
                </c:pt>
                <c:pt idx="1">
                  <c:v>bcsstk13</c:v>
                </c:pt>
                <c:pt idx="2">
                  <c:v>bcsstk17</c:v>
                </c:pt>
                <c:pt idx="3">
                  <c:v>c8_mat11</c:v>
                </c:pt>
                <c:pt idx="4">
                  <c:v>cq9</c:v>
                </c:pt>
                <c:pt idx="5">
                  <c:v>fv1</c:v>
                </c:pt>
                <c:pt idx="6">
                  <c:v>kl02</c:v>
                </c:pt>
                <c:pt idx="7">
                  <c:v>lhr34c</c:v>
                </c:pt>
                <c:pt idx="8">
                  <c:v>pdb1HYS</c:v>
                </c:pt>
                <c:pt idx="9">
                  <c:v>psmigr_1</c:v>
                </c:pt>
                <c:pt idx="10">
                  <c:v>wiki-Vote</c:v>
                </c:pt>
                <c:pt idx="11">
                  <c:v>ca-HepTh</c:v>
                </c:pt>
                <c:pt idx="12">
                  <c:v>p2p-Gnutella04</c:v>
                </c:pt>
                <c:pt idx="13">
                  <c:v>as-735</c:v>
                </c:pt>
                <c:pt idx="14">
                  <c:v>amazon0312</c:v>
                </c:pt>
                <c:pt idx="15">
                  <c:v>Chem97ZtZ</c:v>
                </c:pt>
                <c:pt idx="16">
                  <c:v>airfoil1</c:v>
                </c:pt>
                <c:pt idx="17">
                  <c:v>diag</c:v>
                </c:pt>
                <c:pt idx="18">
                  <c:v>crack</c:v>
                </c:pt>
                <c:pt idx="19">
                  <c:v>shock-9</c:v>
                </c:pt>
                <c:pt idx="20">
                  <c:v>big_dual</c:v>
                </c:pt>
              </c:strCache>
            </c:strRef>
          </c:cat>
          <c:val>
            <c:numRef>
              <c:f>Sheet1!$G$262:$AA$262</c:f>
              <c:numCache>
                <c:formatCode>General</c:formatCode>
                <c:ptCount val="21"/>
                <c:pt idx="0">
                  <c:v>0</c:v>
                </c:pt>
                <c:pt idx="1">
                  <c:v>9.3525179856115095E-2</c:v>
                </c:pt>
                <c:pt idx="2">
                  <c:v>0.261538461538461</c:v>
                </c:pt>
                <c:pt idx="3">
                  <c:v>2.4759903961584602E-3</c:v>
                </c:pt>
                <c:pt idx="4">
                  <c:v>-1.07982862638803E-2</c:v>
                </c:pt>
                <c:pt idx="5">
                  <c:v>0</c:v>
                </c:pt>
                <c:pt idx="6">
                  <c:v>-1.29020907251561E-2</c:v>
                </c:pt>
                <c:pt idx="7">
                  <c:v>-1.9069412662089998E-2</c:v>
                </c:pt>
                <c:pt idx="8">
                  <c:v>0.245566576495341</c:v>
                </c:pt>
                <c:pt idx="9">
                  <c:v>0.15450643776824</c:v>
                </c:pt>
                <c:pt idx="10">
                  <c:v>-7.2797345038004497E-3</c:v>
                </c:pt>
                <c:pt idx="11">
                  <c:v>-5.5398729710656302E-3</c:v>
                </c:pt>
                <c:pt idx="12">
                  <c:v>-4.1902692635989698E-3</c:v>
                </c:pt>
                <c:pt idx="13">
                  <c:v>1.7741935483870899E-2</c:v>
                </c:pt>
                <c:pt idx="14">
                  <c:v>-4.3257603596058604E-3</c:v>
                </c:pt>
                <c:pt idx="15">
                  <c:v>0.40225563909774398</c:v>
                </c:pt>
                <c:pt idx="16">
                  <c:v>0</c:v>
                </c:pt>
                <c:pt idx="17">
                  <c:v>0</c:v>
                </c:pt>
                <c:pt idx="18">
                  <c:v>-5.0908090258668097E-2</c:v>
                </c:pt>
                <c:pt idx="19">
                  <c:v>2.4322169059011099E-2</c:v>
                </c:pt>
                <c:pt idx="20">
                  <c:v>-0.124826629680998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5C8-48D1-8718-AE8DF77999A3}"/>
            </c:ext>
          </c:extLst>
        </c:ser>
        <c:ser>
          <c:idx val="11"/>
          <c:order val="5"/>
          <c:tx>
            <c:strRef>
              <c:f>Sheet1!$D$264</c:f>
              <c:strCache>
                <c:ptCount val="1"/>
                <c:pt idx="0">
                  <c:v>2048</c:v>
                </c:pt>
              </c:strCache>
            </c:strRef>
          </c:tx>
          <c:cat>
            <c:strRef>
              <c:f>Sheet1!$G$239:$AA$239</c:f>
              <c:strCache>
                <c:ptCount val="21"/>
                <c:pt idx="0">
                  <c:v>bcsstk10</c:v>
                </c:pt>
                <c:pt idx="1">
                  <c:v>bcsstk13</c:v>
                </c:pt>
                <c:pt idx="2">
                  <c:v>bcsstk17</c:v>
                </c:pt>
                <c:pt idx="3">
                  <c:v>c8_mat11</c:v>
                </c:pt>
                <c:pt idx="4">
                  <c:v>cq9</c:v>
                </c:pt>
                <c:pt idx="5">
                  <c:v>fv1</c:v>
                </c:pt>
                <c:pt idx="6">
                  <c:v>kl02</c:v>
                </c:pt>
                <c:pt idx="7">
                  <c:v>lhr34c</c:v>
                </c:pt>
                <c:pt idx="8">
                  <c:v>pdb1HYS</c:v>
                </c:pt>
                <c:pt idx="9">
                  <c:v>psmigr_1</c:v>
                </c:pt>
                <c:pt idx="10">
                  <c:v>wiki-Vote</c:v>
                </c:pt>
                <c:pt idx="11">
                  <c:v>ca-HepTh</c:v>
                </c:pt>
                <c:pt idx="12">
                  <c:v>p2p-Gnutella04</c:v>
                </c:pt>
                <c:pt idx="13">
                  <c:v>as-735</c:v>
                </c:pt>
                <c:pt idx="14">
                  <c:v>amazon0312</c:v>
                </c:pt>
                <c:pt idx="15">
                  <c:v>Chem97ZtZ</c:v>
                </c:pt>
                <c:pt idx="16">
                  <c:v>airfoil1</c:v>
                </c:pt>
                <c:pt idx="17">
                  <c:v>diag</c:v>
                </c:pt>
                <c:pt idx="18">
                  <c:v>crack</c:v>
                </c:pt>
                <c:pt idx="19">
                  <c:v>shock-9</c:v>
                </c:pt>
                <c:pt idx="20">
                  <c:v>big_dual</c:v>
                </c:pt>
              </c:strCache>
            </c:strRef>
          </c:cat>
          <c:val>
            <c:numRef>
              <c:f>Sheet1!$G$264:$AA$264</c:f>
              <c:numCache>
                <c:formatCode>General</c:formatCode>
                <c:ptCount val="21"/>
                <c:pt idx="0">
                  <c:v>0</c:v>
                </c:pt>
                <c:pt idx="1">
                  <c:v>9.3525179856115095E-2</c:v>
                </c:pt>
                <c:pt idx="2">
                  <c:v>0.25339366515837097</c:v>
                </c:pt>
                <c:pt idx="3">
                  <c:v>1.4180672268907501E-2</c:v>
                </c:pt>
                <c:pt idx="4">
                  <c:v>-8.2626562909853905E-3</c:v>
                </c:pt>
                <c:pt idx="5">
                  <c:v>0</c:v>
                </c:pt>
                <c:pt idx="6">
                  <c:v>-1.4690789666598199E-2</c:v>
                </c:pt>
                <c:pt idx="7">
                  <c:v>-3.4324942791761999E-3</c:v>
                </c:pt>
                <c:pt idx="8">
                  <c:v>0.242861436729786</c:v>
                </c:pt>
                <c:pt idx="9">
                  <c:v>0.15450643776824</c:v>
                </c:pt>
                <c:pt idx="10">
                  <c:v>-5.7809656353709398E-3</c:v>
                </c:pt>
                <c:pt idx="11">
                  <c:v>3.1757233592095898E-4</c:v>
                </c:pt>
                <c:pt idx="12">
                  <c:v>-5.2766353689764796E-3</c:v>
                </c:pt>
                <c:pt idx="13">
                  <c:v>2.1290322580645098E-2</c:v>
                </c:pt>
                <c:pt idx="14">
                  <c:v>-4.2963842860438998E-3</c:v>
                </c:pt>
                <c:pt idx="15">
                  <c:v>0.40225563909774398</c:v>
                </c:pt>
                <c:pt idx="16">
                  <c:v>0</c:v>
                </c:pt>
                <c:pt idx="17">
                  <c:v>0</c:v>
                </c:pt>
                <c:pt idx="18">
                  <c:v>-4.6642817831590501E-2</c:v>
                </c:pt>
                <c:pt idx="19">
                  <c:v>2.3923444976076499E-2</c:v>
                </c:pt>
                <c:pt idx="20">
                  <c:v>-0.12621359223300899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5C8-48D1-8718-AE8DF77999A3}"/>
            </c:ext>
          </c:extLst>
        </c:ser>
        <c:ser>
          <c:idx val="0"/>
          <c:order val="6"/>
          <c:tx>
            <c:strRef>
              <c:f>Sheet1!$F$255</c:f>
              <c:strCache>
                <c:ptCount val="1"/>
                <c:pt idx="0">
                  <c:v>Avg.64</c:v>
                </c:pt>
              </c:strCache>
            </c:strRef>
          </c:tx>
          <c:cat>
            <c:strRef>
              <c:f>Sheet1!$G$239:$AA$239</c:f>
              <c:strCache>
                <c:ptCount val="21"/>
                <c:pt idx="0">
                  <c:v>bcsstk10</c:v>
                </c:pt>
                <c:pt idx="1">
                  <c:v>bcsstk13</c:v>
                </c:pt>
                <c:pt idx="2">
                  <c:v>bcsstk17</c:v>
                </c:pt>
                <c:pt idx="3">
                  <c:v>c8_mat11</c:v>
                </c:pt>
                <c:pt idx="4">
                  <c:v>cq9</c:v>
                </c:pt>
                <c:pt idx="5">
                  <c:v>fv1</c:v>
                </c:pt>
                <c:pt idx="6">
                  <c:v>kl02</c:v>
                </c:pt>
                <c:pt idx="7">
                  <c:v>lhr34c</c:v>
                </c:pt>
                <c:pt idx="8">
                  <c:v>pdb1HYS</c:v>
                </c:pt>
                <c:pt idx="9">
                  <c:v>psmigr_1</c:v>
                </c:pt>
                <c:pt idx="10">
                  <c:v>wiki-Vote</c:v>
                </c:pt>
                <c:pt idx="11">
                  <c:v>ca-HepTh</c:v>
                </c:pt>
                <c:pt idx="12">
                  <c:v>p2p-Gnutella04</c:v>
                </c:pt>
                <c:pt idx="13">
                  <c:v>as-735</c:v>
                </c:pt>
                <c:pt idx="14">
                  <c:v>amazon0312</c:v>
                </c:pt>
                <c:pt idx="15">
                  <c:v>Chem97ZtZ</c:v>
                </c:pt>
                <c:pt idx="16">
                  <c:v>airfoil1</c:v>
                </c:pt>
                <c:pt idx="17">
                  <c:v>diag</c:v>
                </c:pt>
                <c:pt idx="18">
                  <c:v>crack</c:v>
                </c:pt>
                <c:pt idx="19">
                  <c:v>shock-9</c:v>
                </c:pt>
                <c:pt idx="20">
                  <c:v>big_dual</c:v>
                </c:pt>
              </c:strCache>
            </c:strRef>
          </c:cat>
          <c:val>
            <c:numRef>
              <c:f>Sheet1!$G$255:$AA$255</c:f>
              <c:numCache>
                <c:formatCode>General</c:formatCode>
                <c:ptCount val="21"/>
                <c:pt idx="0">
                  <c:v>5.9852988036924328E-2</c:v>
                </c:pt>
                <c:pt idx="1">
                  <c:v>5.9852988036924328E-2</c:v>
                </c:pt>
                <c:pt idx="2">
                  <c:v>5.9852988036924328E-2</c:v>
                </c:pt>
                <c:pt idx="3">
                  <c:v>5.9852988036924328E-2</c:v>
                </c:pt>
                <c:pt idx="4">
                  <c:v>5.9852988036924328E-2</c:v>
                </c:pt>
                <c:pt idx="5">
                  <c:v>5.9852988036924328E-2</c:v>
                </c:pt>
                <c:pt idx="6">
                  <c:v>5.9852988036924328E-2</c:v>
                </c:pt>
                <c:pt idx="7">
                  <c:v>5.9852988036924328E-2</c:v>
                </c:pt>
                <c:pt idx="8">
                  <c:v>5.9852988036924328E-2</c:v>
                </c:pt>
                <c:pt idx="9">
                  <c:v>5.9852988036924328E-2</c:v>
                </c:pt>
                <c:pt idx="10">
                  <c:v>5.9852988036924328E-2</c:v>
                </c:pt>
                <c:pt idx="11">
                  <c:v>5.9852988036924328E-2</c:v>
                </c:pt>
                <c:pt idx="12">
                  <c:v>5.9852988036924328E-2</c:v>
                </c:pt>
                <c:pt idx="13">
                  <c:v>5.9852988036924328E-2</c:v>
                </c:pt>
                <c:pt idx="14">
                  <c:v>5.9852988036924328E-2</c:v>
                </c:pt>
                <c:pt idx="15">
                  <c:v>5.9852988036924328E-2</c:v>
                </c:pt>
                <c:pt idx="16">
                  <c:v>5.9852988036924328E-2</c:v>
                </c:pt>
                <c:pt idx="17">
                  <c:v>5.9852988036924328E-2</c:v>
                </c:pt>
                <c:pt idx="18">
                  <c:v>5.9852988036924328E-2</c:v>
                </c:pt>
                <c:pt idx="19">
                  <c:v>5.9852988036924328E-2</c:v>
                </c:pt>
                <c:pt idx="20">
                  <c:v>5.9852988036924328E-2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5C8-48D1-8718-AE8DF77999A3}"/>
            </c:ext>
          </c:extLst>
        </c:ser>
        <c:ser>
          <c:idx val="1"/>
          <c:order val="7"/>
          <c:tx>
            <c:strRef>
              <c:f>Sheet1!$F$257</c:f>
              <c:strCache>
                <c:ptCount val="1"/>
                <c:pt idx="0">
                  <c:v>Avg.128</c:v>
                </c:pt>
              </c:strCache>
            </c:strRef>
          </c:tx>
          <c:cat>
            <c:strRef>
              <c:f>Sheet1!$G$239:$AA$239</c:f>
              <c:strCache>
                <c:ptCount val="21"/>
                <c:pt idx="0">
                  <c:v>bcsstk10</c:v>
                </c:pt>
                <c:pt idx="1">
                  <c:v>bcsstk13</c:v>
                </c:pt>
                <c:pt idx="2">
                  <c:v>bcsstk17</c:v>
                </c:pt>
                <c:pt idx="3">
                  <c:v>c8_mat11</c:v>
                </c:pt>
                <c:pt idx="4">
                  <c:v>cq9</c:v>
                </c:pt>
                <c:pt idx="5">
                  <c:v>fv1</c:v>
                </c:pt>
                <c:pt idx="6">
                  <c:v>kl02</c:v>
                </c:pt>
                <c:pt idx="7">
                  <c:v>lhr34c</c:v>
                </c:pt>
                <c:pt idx="8">
                  <c:v>pdb1HYS</c:v>
                </c:pt>
                <c:pt idx="9">
                  <c:v>psmigr_1</c:v>
                </c:pt>
                <c:pt idx="10">
                  <c:v>wiki-Vote</c:v>
                </c:pt>
                <c:pt idx="11">
                  <c:v>ca-HepTh</c:v>
                </c:pt>
                <c:pt idx="12">
                  <c:v>p2p-Gnutella04</c:v>
                </c:pt>
                <c:pt idx="13">
                  <c:v>as-735</c:v>
                </c:pt>
                <c:pt idx="14">
                  <c:v>amazon0312</c:v>
                </c:pt>
                <c:pt idx="15">
                  <c:v>Chem97ZtZ</c:v>
                </c:pt>
                <c:pt idx="16">
                  <c:v>airfoil1</c:v>
                </c:pt>
                <c:pt idx="17">
                  <c:v>diag</c:v>
                </c:pt>
                <c:pt idx="18">
                  <c:v>crack</c:v>
                </c:pt>
                <c:pt idx="19">
                  <c:v>shock-9</c:v>
                </c:pt>
                <c:pt idx="20">
                  <c:v>big_dual</c:v>
                </c:pt>
              </c:strCache>
            </c:strRef>
          </c:cat>
          <c:val>
            <c:numRef>
              <c:f>Sheet1!$G$257:$AA$257</c:f>
              <c:numCache>
                <c:formatCode>General</c:formatCode>
                <c:ptCount val="21"/>
                <c:pt idx="0">
                  <c:v>5.335545579122699E-2</c:v>
                </c:pt>
                <c:pt idx="1">
                  <c:v>5.335545579122699E-2</c:v>
                </c:pt>
                <c:pt idx="2">
                  <c:v>5.335545579122699E-2</c:v>
                </c:pt>
                <c:pt idx="3">
                  <c:v>5.335545579122699E-2</c:v>
                </c:pt>
                <c:pt idx="4">
                  <c:v>5.335545579122699E-2</c:v>
                </c:pt>
                <c:pt idx="5">
                  <c:v>5.335545579122699E-2</c:v>
                </c:pt>
                <c:pt idx="6">
                  <c:v>5.335545579122699E-2</c:v>
                </c:pt>
                <c:pt idx="7">
                  <c:v>5.335545579122699E-2</c:v>
                </c:pt>
                <c:pt idx="8">
                  <c:v>5.335545579122699E-2</c:v>
                </c:pt>
                <c:pt idx="9">
                  <c:v>5.335545579122699E-2</c:v>
                </c:pt>
                <c:pt idx="10">
                  <c:v>5.335545579122699E-2</c:v>
                </c:pt>
                <c:pt idx="11">
                  <c:v>5.335545579122699E-2</c:v>
                </c:pt>
                <c:pt idx="12">
                  <c:v>5.335545579122699E-2</c:v>
                </c:pt>
                <c:pt idx="13">
                  <c:v>5.335545579122699E-2</c:v>
                </c:pt>
                <c:pt idx="14">
                  <c:v>5.335545579122699E-2</c:v>
                </c:pt>
                <c:pt idx="15">
                  <c:v>5.335545579122699E-2</c:v>
                </c:pt>
                <c:pt idx="16">
                  <c:v>5.335545579122699E-2</c:v>
                </c:pt>
                <c:pt idx="17">
                  <c:v>5.335545579122699E-2</c:v>
                </c:pt>
                <c:pt idx="18">
                  <c:v>5.335545579122699E-2</c:v>
                </c:pt>
                <c:pt idx="19">
                  <c:v>5.335545579122699E-2</c:v>
                </c:pt>
                <c:pt idx="20">
                  <c:v>5.335545579122699E-2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5C8-48D1-8718-AE8DF77999A3}"/>
            </c:ext>
          </c:extLst>
        </c:ser>
        <c:ser>
          <c:idx val="2"/>
          <c:order val="8"/>
          <c:tx>
            <c:strRef>
              <c:f>Sheet1!$F$259</c:f>
              <c:strCache>
                <c:ptCount val="1"/>
                <c:pt idx="0">
                  <c:v>Avg.256</c:v>
                </c:pt>
              </c:strCache>
            </c:strRef>
          </c:tx>
          <c:cat>
            <c:strRef>
              <c:f>Sheet1!$G$239:$AA$239</c:f>
              <c:strCache>
                <c:ptCount val="21"/>
                <c:pt idx="0">
                  <c:v>bcsstk10</c:v>
                </c:pt>
                <c:pt idx="1">
                  <c:v>bcsstk13</c:v>
                </c:pt>
                <c:pt idx="2">
                  <c:v>bcsstk17</c:v>
                </c:pt>
                <c:pt idx="3">
                  <c:v>c8_mat11</c:v>
                </c:pt>
                <c:pt idx="4">
                  <c:v>cq9</c:v>
                </c:pt>
                <c:pt idx="5">
                  <c:v>fv1</c:v>
                </c:pt>
                <c:pt idx="6">
                  <c:v>kl02</c:v>
                </c:pt>
                <c:pt idx="7">
                  <c:v>lhr34c</c:v>
                </c:pt>
                <c:pt idx="8">
                  <c:v>pdb1HYS</c:v>
                </c:pt>
                <c:pt idx="9">
                  <c:v>psmigr_1</c:v>
                </c:pt>
                <c:pt idx="10">
                  <c:v>wiki-Vote</c:v>
                </c:pt>
                <c:pt idx="11">
                  <c:v>ca-HepTh</c:v>
                </c:pt>
                <c:pt idx="12">
                  <c:v>p2p-Gnutella04</c:v>
                </c:pt>
                <c:pt idx="13">
                  <c:v>as-735</c:v>
                </c:pt>
                <c:pt idx="14">
                  <c:v>amazon0312</c:v>
                </c:pt>
                <c:pt idx="15">
                  <c:v>Chem97ZtZ</c:v>
                </c:pt>
                <c:pt idx="16">
                  <c:v>airfoil1</c:v>
                </c:pt>
                <c:pt idx="17">
                  <c:v>diag</c:v>
                </c:pt>
                <c:pt idx="18">
                  <c:v>crack</c:v>
                </c:pt>
                <c:pt idx="19">
                  <c:v>shock-9</c:v>
                </c:pt>
                <c:pt idx="20">
                  <c:v>big_dual</c:v>
                </c:pt>
              </c:strCache>
            </c:strRef>
          </c:cat>
          <c:val>
            <c:numRef>
              <c:f>Sheet1!$G$259:$AA$259</c:f>
              <c:numCache>
                <c:formatCode>General</c:formatCode>
                <c:ptCount val="21"/>
                <c:pt idx="0">
                  <c:v>4.8271618546250679E-2</c:v>
                </c:pt>
                <c:pt idx="1">
                  <c:v>4.8271618546250679E-2</c:v>
                </c:pt>
                <c:pt idx="2">
                  <c:v>4.8271618546250679E-2</c:v>
                </c:pt>
                <c:pt idx="3">
                  <c:v>4.8271618546250679E-2</c:v>
                </c:pt>
                <c:pt idx="4">
                  <c:v>4.8271618546250679E-2</c:v>
                </c:pt>
                <c:pt idx="5">
                  <c:v>4.8271618546250679E-2</c:v>
                </c:pt>
                <c:pt idx="6">
                  <c:v>4.8271618546250679E-2</c:v>
                </c:pt>
                <c:pt idx="7">
                  <c:v>4.8271618546250679E-2</c:v>
                </c:pt>
                <c:pt idx="8">
                  <c:v>4.8271618546250679E-2</c:v>
                </c:pt>
                <c:pt idx="9">
                  <c:v>4.8271618546250679E-2</c:v>
                </c:pt>
                <c:pt idx="10">
                  <c:v>4.8271618546250679E-2</c:v>
                </c:pt>
                <c:pt idx="11">
                  <c:v>4.8271618546250679E-2</c:v>
                </c:pt>
                <c:pt idx="12">
                  <c:v>4.8271618546250679E-2</c:v>
                </c:pt>
                <c:pt idx="13">
                  <c:v>4.8271618546250679E-2</c:v>
                </c:pt>
                <c:pt idx="14">
                  <c:v>4.8271618546250679E-2</c:v>
                </c:pt>
                <c:pt idx="15">
                  <c:v>4.8271618546250679E-2</c:v>
                </c:pt>
                <c:pt idx="16">
                  <c:v>4.8271618546250679E-2</c:v>
                </c:pt>
                <c:pt idx="17">
                  <c:v>4.8271618546250679E-2</c:v>
                </c:pt>
                <c:pt idx="18">
                  <c:v>4.8271618546250679E-2</c:v>
                </c:pt>
                <c:pt idx="19">
                  <c:v>4.8271618546250679E-2</c:v>
                </c:pt>
                <c:pt idx="20">
                  <c:v>4.8271618546250679E-2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15C8-48D1-8718-AE8DF77999A3}"/>
            </c:ext>
          </c:extLst>
        </c:ser>
        <c:ser>
          <c:idx val="3"/>
          <c:order val="9"/>
          <c:tx>
            <c:strRef>
              <c:f>Sheet1!$F$261</c:f>
              <c:strCache>
                <c:ptCount val="1"/>
                <c:pt idx="0">
                  <c:v>Avg.512</c:v>
                </c:pt>
              </c:strCache>
            </c:strRef>
          </c:tx>
          <c:cat>
            <c:strRef>
              <c:f>Sheet1!$G$239:$AA$239</c:f>
              <c:strCache>
                <c:ptCount val="21"/>
                <c:pt idx="0">
                  <c:v>bcsstk10</c:v>
                </c:pt>
                <c:pt idx="1">
                  <c:v>bcsstk13</c:v>
                </c:pt>
                <c:pt idx="2">
                  <c:v>bcsstk17</c:v>
                </c:pt>
                <c:pt idx="3">
                  <c:v>c8_mat11</c:v>
                </c:pt>
                <c:pt idx="4">
                  <c:v>cq9</c:v>
                </c:pt>
                <c:pt idx="5">
                  <c:v>fv1</c:v>
                </c:pt>
                <c:pt idx="6">
                  <c:v>kl02</c:v>
                </c:pt>
                <c:pt idx="7">
                  <c:v>lhr34c</c:v>
                </c:pt>
                <c:pt idx="8">
                  <c:v>pdb1HYS</c:v>
                </c:pt>
                <c:pt idx="9">
                  <c:v>psmigr_1</c:v>
                </c:pt>
                <c:pt idx="10">
                  <c:v>wiki-Vote</c:v>
                </c:pt>
                <c:pt idx="11">
                  <c:v>ca-HepTh</c:v>
                </c:pt>
                <c:pt idx="12">
                  <c:v>p2p-Gnutella04</c:v>
                </c:pt>
                <c:pt idx="13">
                  <c:v>as-735</c:v>
                </c:pt>
                <c:pt idx="14">
                  <c:v>amazon0312</c:v>
                </c:pt>
                <c:pt idx="15">
                  <c:v>Chem97ZtZ</c:v>
                </c:pt>
                <c:pt idx="16">
                  <c:v>airfoil1</c:v>
                </c:pt>
                <c:pt idx="17">
                  <c:v>diag</c:v>
                </c:pt>
                <c:pt idx="18">
                  <c:v>crack</c:v>
                </c:pt>
                <c:pt idx="19">
                  <c:v>shock-9</c:v>
                </c:pt>
                <c:pt idx="20">
                  <c:v>big_dual</c:v>
                </c:pt>
              </c:strCache>
            </c:strRef>
          </c:cat>
          <c:val>
            <c:numRef>
              <c:f>Sheet1!$G$261:$AA$261</c:f>
              <c:numCache>
                <c:formatCode>General</c:formatCode>
                <c:ptCount val="21"/>
                <c:pt idx="0">
                  <c:v>4.5768338799988165E-2</c:v>
                </c:pt>
                <c:pt idx="1">
                  <c:v>4.5768338799988165E-2</c:v>
                </c:pt>
                <c:pt idx="2">
                  <c:v>4.5768338799988165E-2</c:v>
                </c:pt>
                <c:pt idx="3">
                  <c:v>4.5768338799988165E-2</c:v>
                </c:pt>
                <c:pt idx="4">
                  <c:v>4.5768338799988165E-2</c:v>
                </c:pt>
                <c:pt idx="5">
                  <c:v>4.5768338799988165E-2</c:v>
                </c:pt>
                <c:pt idx="6">
                  <c:v>4.5768338799988165E-2</c:v>
                </c:pt>
                <c:pt idx="7">
                  <c:v>4.5768338799988165E-2</c:v>
                </c:pt>
                <c:pt idx="8">
                  <c:v>4.5768338799988165E-2</c:v>
                </c:pt>
                <c:pt idx="9">
                  <c:v>4.5768338799988165E-2</c:v>
                </c:pt>
                <c:pt idx="10">
                  <c:v>4.5768338799988165E-2</c:v>
                </c:pt>
                <c:pt idx="11">
                  <c:v>4.5768338799988165E-2</c:v>
                </c:pt>
                <c:pt idx="12">
                  <c:v>4.5768338799988165E-2</c:v>
                </c:pt>
                <c:pt idx="13">
                  <c:v>4.5768338799988165E-2</c:v>
                </c:pt>
                <c:pt idx="14">
                  <c:v>4.5768338799988165E-2</c:v>
                </c:pt>
                <c:pt idx="15">
                  <c:v>4.5768338799988165E-2</c:v>
                </c:pt>
                <c:pt idx="16">
                  <c:v>4.5768338799988165E-2</c:v>
                </c:pt>
                <c:pt idx="17">
                  <c:v>4.5768338799988165E-2</c:v>
                </c:pt>
                <c:pt idx="18">
                  <c:v>4.5768338799988165E-2</c:v>
                </c:pt>
                <c:pt idx="19">
                  <c:v>4.5768338799988165E-2</c:v>
                </c:pt>
                <c:pt idx="20">
                  <c:v>4.5768338799988165E-2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15C8-48D1-8718-AE8DF77999A3}"/>
            </c:ext>
          </c:extLst>
        </c:ser>
        <c:ser>
          <c:idx val="4"/>
          <c:order val="10"/>
          <c:tx>
            <c:strRef>
              <c:f>Sheet1!$F$263</c:f>
              <c:strCache>
                <c:ptCount val="1"/>
                <c:pt idx="0">
                  <c:v>Avg.1024</c:v>
                </c:pt>
              </c:strCache>
            </c:strRef>
          </c:tx>
          <c:cat>
            <c:strRef>
              <c:f>Sheet1!$G$239:$AA$239</c:f>
              <c:strCache>
                <c:ptCount val="21"/>
                <c:pt idx="0">
                  <c:v>bcsstk10</c:v>
                </c:pt>
                <c:pt idx="1">
                  <c:v>bcsstk13</c:v>
                </c:pt>
                <c:pt idx="2">
                  <c:v>bcsstk17</c:v>
                </c:pt>
                <c:pt idx="3">
                  <c:v>c8_mat11</c:v>
                </c:pt>
                <c:pt idx="4">
                  <c:v>cq9</c:v>
                </c:pt>
                <c:pt idx="5">
                  <c:v>fv1</c:v>
                </c:pt>
                <c:pt idx="6">
                  <c:v>kl02</c:v>
                </c:pt>
                <c:pt idx="7">
                  <c:v>lhr34c</c:v>
                </c:pt>
                <c:pt idx="8">
                  <c:v>pdb1HYS</c:v>
                </c:pt>
                <c:pt idx="9">
                  <c:v>psmigr_1</c:v>
                </c:pt>
                <c:pt idx="10">
                  <c:v>wiki-Vote</c:v>
                </c:pt>
                <c:pt idx="11">
                  <c:v>ca-HepTh</c:v>
                </c:pt>
                <c:pt idx="12">
                  <c:v>p2p-Gnutella04</c:v>
                </c:pt>
                <c:pt idx="13">
                  <c:v>as-735</c:v>
                </c:pt>
                <c:pt idx="14">
                  <c:v>amazon0312</c:v>
                </c:pt>
                <c:pt idx="15">
                  <c:v>Chem97ZtZ</c:v>
                </c:pt>
                <c:pt idx="16">
                  <c:v>airfoil1</c:v>
                </c:pt>
                <c:pt idx="17">
                  <c:v>diag</c:v>
                </c:pt>
                <c:pt idx="18">
                  <c:v>crack</c:v>
                </c:pt>
                <c:pt idx="19">
                  <c:v>shock-9</c:v>
                </c:pt>
                <c:pt idx="20">
                  <c:v>big_dual</c:v>
                </c:pt>
              </c:strCache>
            </c:strRef>
          </c:cat>
          <c:val>
            <c:numRef>
              <c:f>Sheet1!$G$263:$AA$263</c:f>
              <c:numCache>
                <c:formatCode>General</c:formatCode>
                <c:ptCount val="21"/>
                <c:pt idx="0">
                  <c:v>4.5813916333622771E-2</c:v>
                </c:pt>
                <c:pt idx="1">
                  <c:v>4.5813916333622771E-2</c:v>
                </c:pt>
                <c:pt idx="2">
                  <c:v>4.5813916333622771E-2</c:v>
                </c:pt>
                <c:pt idx="3">
                  <c:v>4.5813916333622771E-2</c:v>
                </c:pt>
                <c:pt idx="4">
                  <c:v>4.5813916333622771E-2</c:v>
                </c:pt>
                <c:pt idx="5">
                  <c:v>4.5813916333622771E-2</c:v>
                </c:pt>
                <c:pt idx="6">
                  <c:v>4.5813916333622771E-2</c:v>
                </c:pt>
                <c:pt idx="7">
                  <c:v>4.5813916333622771E-2</c:v>
                </c:pt>
                <c:pt idx="8">
                  <c:v>4.5813916333622771E-2</c:v>
                </c:pt>
                <c:pt idx="9">
                  <c:v>4.5813916333622771E-2</c:v>
                </c:pt>
                <c:pt idx="10">
                  <c:v>4.5813916333622771E-2</c:v>
                </c:pt>
                <c:pt idx="11">
                  <c:v>4.5813916333622771E-2</c:v>
                </c:pt>
                <c:pt idx="12">
                  <c:v>4.5813916333622771E-2</c:v>
                </c:pt>
                <c:pt idx="13">
                  <c:v>4.5813916333622771E-2</c:v>
                </c:pt>
                <c:pt idx="14">
                  <c:v>4.5813916333622771E-2</c:v>
                </c:pt>
                <c:pt idx="15">
                  <c:v>4.5813916333622771E-2</c:v>
                </c:pt>
                <c:pt idx="16">
                  <c:v>4.5813916333622771E-2</c:v>
                </c:pt>
                <c:pt idx="17">
                  <c:v>4.5813916333622771E-2</c:v>
                </c:pt>
                <c:pt idx="18">
                  <c:v>4.5813916333622771E-2</c:v>
                </c:pt>
                <c:pt idx="19">
                  <c:v>4.5813916333622771E-2</c:v>
                </c:pt>
                <c:pt idx="20">
                  <c:v>4.5813916333622771E-2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15C8-48D1-8718-AE8DF77999A3}"/>
            </c:ext>
          </c:extLst>
        </c:ser>
        <c:ser>
          <c:idx val="5"/>
          <c:order val="11"/>
          <c:tx>
            <c:strRef>
              <c:f>Sheet1!$F$265</c:f>
              <c:strCache>
                <c:ptCount val="1"/>
                <c:pt idx="0">
                  <c:v>Avg.2048</c:v>
                </c:pt>
              </c:strCache>
            </c:strRef>
          </c:tx>
          <c:cat>
            <c:strRef>
              <c:f>Sheet1!$G$239:$AA$239</c:f>
              <c:strCache>
                <c:ptCount val="21"/>
                <c:pt idx="0">
                  <c:v>bcsstk10</c:v>
                </c:pt>
                <c:pt idx="1">
                  <c:v>bcsstk13</c:v>
                </c:pt>
                <c:pt idx="2">
                  <c:v>bcsstk17</c:v>
                </c:pt>
                <c:pt idx="3">
                  <c:v>c8_mat11</c:v>
                </c:pt>
                <c:pt idx="4">
                  <c:v>cq9</c:v>
                </c:pt>
                <c:pt idx="5">
                  <c:v>fv1</c:v>
                </c:pt>
                <c:pt idx="6">
                  <c:v>kl02</c:v>
                </c:pt>
                <c:pt idx="7">
                  <c:v>lhr34c</c:v>
                </c:pt>
                <c:pt idx="8">
                  <c:v>pdb1HYS</c:v>
                </c:pt>
                <c:pt idx="9">
                  <c:v>psmigr_1</c:v>
                </c:pt>
                <c:pt idx="10">
                  <c:v>wiki-Vote</c:v>
                </c:pt>
                <c:pt idx="11">
                  <c:v>ca-HepTh</c:v>
                </c:pt>
                <c:pt idx="12">
                  <c:v>p2p-Gnutella04</c:v>
                </c:pt>
                <c:pt idx="13">
                  <c:v>as-735</c:v>
                </c:pt>
                <c:pt idx="14">
                  <c:v>amazon0312</c:v>
                </c:pt>
                <c:pt idx="15">
                  <c:v>Chem97ZtZ</c:v>
                </c:pt>
                <c:pt idx="16">
                  <c:v>airfoil1</c:v>
                </c:pt>
                <c:pt idx="17">
                  <c:v>diag</c:v>
                </c:pt>
                <c:pt idx="18">
                  <c:v>crack</c:v>
                </c:pt>
                <c:pt idx="19">
                  <c:v>shock-9</c:v>
                </c:pt>
                <c:pt idx="20">
                  <c:v>big_dual</c:v>
                </c:pt>
              </c:strCache>
            </c:strRef>
          </c:cat>
          <c:val>
            <c:numRef>
              <c:f>Sheet1!$G$265:$AA$265</c:f>
              <c:numCache>
                <c:formatCode>General</c:formatCode>
                <c:ptCount val="21"/>
                <c:pt idx="0">
                  <c:v>4.7221811199050272E-2</c:v>
                </c:pt>
                <c:pt idx="1">
                  <c:v>4.7221811199050272E-2</c:v>
                </c:pt>
                <c:pt idx="2">
                  <c:v>4.7221811199050272E-2</c:v>
                </c:pt>
                <c:pt idx="3">
                  <c:v>4.7221811199050272E-2</c:v>
                </c:pt>
                <c:pt idx="4">
                  <c:v>4.7221811199050272E-2</c:v>
                </c:pt>
                <c:pt idx="5">
                  <c:v>4.7221811199050272E-2</c:v>
                </c:pt>
                <c:pt idx="6">
                  <c:v>4.7221811199050272E-2</c:v>
                </c:pt>
                <c:pt idx="7">
                  <c:v>4.7221811199050272E-2</c:v>
                </c:pt>
                <c:pt idx="8">
                  <c:v>4.7221811199050272E-2</c:v>
                </c:pt>
                <c:pt idx="9">
                  <c:v>4.7221811199050272E-2</c:v>
                </c:pt>
                <c:pt idx="10">
                  <c:v>4.7221811199050272E-2</c:v>
                </c:pt>
                <c:pt idx="11">
                  <c:v>4.7221811199050272E-2</c:v>
                </c:pt>
                <c:pt idx="12">
                  <c:v>4.7221811199050272E-2</c:v>
                </c:pt>
                <c:pt idx="13">
                  <c:v>4.7221811199050272E-2</c:v>
                </c:pt>
                <c:pt idx="14">
                  <c:v>4.7221811199050272E-2</c:v>
                </c:pt>
                <c:pt idx="15">
                  <c:v>4.7221811199050272E-2</c:v>
                </c:pt>
                <c:pt idx="16">
                  <c:v>4.7221811199050272E-2</c:v>
                </c:pt>
                <c:pt idx="17">
                  <c:v>4.7221811199050272E-2</c:v>
                </c:pt>
                <c:pt idx="18">
                  <c:v>4.7221811199050272E-2</c:v>
                </c:pt>
                <c:pt idx="19">
                  <c:v>4.7221811199050272E-2</c:v>
                </c:pt>
                <c:pt idx="20">
                  <c:v>4.7221811199050272E-2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15C8-48D1-8718-AE8DF77999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5729599"/>
        <c:axId val="1177765871"/>
      </c:lineChart>
      <c:catAx>
        <c:axId val="725729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Matrix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7765871"/>
        <c:crossesAt val="-1"/>
        <c:auto val="1"/>
        <c:lblAlgn val="ctr"/>
        <c:lblOffset val="100"/>
        <c:noMultiLvlLbl val="0"/>
      </c:catAx>
      <c:valAx>
        <c:axId val="1177765871"/>
        <c:scaling>
          <c:orientation val="minMax"/>
          <c:max val="0.5"/>
          <c:min val="-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Memory</a:t>
                </a:r>
                <a:r>
                  <a:rPr lang="en-US" baseline="0"/>
                  <a:t> Access Reduction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5729599"/>
        <c:crosses val="autoZero"/>
        <c:crossBetween val="between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Page</a:t>
            </a:r>
            <a:r>
              <a:rPr lang="en-US" baseline="0"/>
              <a:t> Size = 128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7"/>
          <c:order val="0"/>
          <c:tx>
            <c:strRef>
              <c:f>Sheet1!$D$270</c:f>
              <c:strCache>
                <c:ptCount val="1"/>
                <c:pt idx="0">
                  <c:v>128</c:v>
                </c:pt>
              </c:strCache>
            </c:strRef>
          </c:tx>
          <c:cat>
            <c:strRef>
              <c:f>Sheet1!$G$239:$AA$239</c:f>
              <c:strCache>
                <c:ptCount val="21"/>
                <c:pt idx="0">
                  <c:v>bcsstk10</c:v>
                </c:pt>
                <c:pt idx="1">
                  <c:v>bcsstk13</c:v>
                </c:pt>
                <c:pt idx="2">
                  <c:v>bcsstk17</c:v>
                </c:pt>
                <c:pt idx="3">
                  <c:v>c8_mat11</c:v>
                </c:pt>
                <c:pt idx="4">
                  <c:v>cq9</c:v>
                </c:pt>
                <c:pt idx="5">
                  <c:v>fv1</c:v>
                </c:pt>
                <c:pt idx="6">
                  <c:v>kl02</c:v>
                </c:pt>
                <c:pt idx="7">
                  <c:v>lhr34c</c:v>
                </c:pt>
                <c:pt idx="8">
                  <c:v>pdb1HYS</c:v>
                </c:pt>
                <c:pt idx="9">
                  <c:v>psmigr_1</c:v>
                </c:pt>
                <c:pt idx="10">
                  <c:v>wiki-Vote</c:v>
                </c:pt>
                <c:pt idx="11">
                  <c:v>ca-HepTh</c:v>
                </c:pt>
                <c:pt idx="12">
                  <c:v>p2p-Gnutella04</c:v>
                </c:pt>
                <c:pt idx="13">
                  <c:v>as-735</c:v>
                </c:pt>
                <c:pt idx="14">
                  <c:v>amazon0312</c:v>
                </c:pt>
                <c:pt idx="15">
                  <c:v>Chem97ZtZ</c:v>
                </c:pt>
                <c:pt idx="16">
                  <c:v>airfoil1</c:v>
                </c:pt>
                <c:pt idx="17">
                  <c:v>diag</c:v>
                </c:pt>
                <c:pt idx="18">
                  <c:v>crack</c:v>
                </c:pt>
                <c:pt idx="19">
                  <c:v>shock-9</c:v>
                </c:pt>
                <c:pt idx="20">
                  <c:v>big_dual</c:v>
                </c:pt>
              </c:strCache>
            </c:strRef>
          </c:cat>
          <c:val>
            <c:numRef>
              <c:f>Sheet1!$G$270:$AA$270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0.39225589225589202</c:v>
                </c:pt>
                <c:pt idx="4">
                  <c:v>-0.13588794075028099</c:v>
                </c:pt>
                <c:pt idx="5">
                  <c:v>0</c:v>
                </c:pt>
                <c:pt idx="6">
                  <c:v>-3.0500947031545898E-2</c:v>
                </c:pt>
                <c:pt idx="7">
                  <c:v>1.7010935601457999E-2</c:v>
                </c:pt>
                <c:pt idx="8">
                  <c:v>0.36658556366585499</c:v>
                </c:pt>
                <c:pt idx="9">
                  <c:v>0</c:v>
                </c:pt>
                <c:pt idx="10">
                  <c:v>0.20049504950495001</c:v>
                </c:pt>
                <c:pt idx="11">
                  <c:v>-8.1446879865852192E-3</c:v>
                </c:pt>
                <c:pt idx="12">
                  <c:v>0.13349588540079199</c:v>
                </c:pt>
                <c:pt idx="13">
                  <c:v>0.33977900552486101</c:v>
                </c:pt>
                <c:pt idx="14">
                  <c:v>3.7882180927145399E-3</c:v>
                </c:pt>
                <c:pt idx="15">
                  <c:v>0.13586956521739099</c:v>
                </c:pt>
                <c:pt idx="16">
                  <c:v>0</c:v>
                </c:pt>
                <c:pt idx="17">
                  <c:v>0</c:v>
                </c:pt>
                <c:pt idx="18">
                  <c:v>0.148196436332029</c:v>
                </c:pt>
                <c:pt idx="19">
                  <c:v>1.75131348511383E-3</c:v>
                </c:pt>
                <c:pt idx="20">
                  <c:v>4.5203415369161198E-3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B7A-408A-A690-599FD9E68A9F}"/>
            </c:ext>
          </c:extLst>
        </c:ser>
        <c:ser>
          <c:idx val="8"/>
          <c:order val="1"/>
          <c:tx>
            <c:strRef>
              <c:f>Sheet1!$D$272</c:f>
              <c:strCache>
                <c:ptCount val="1"/>
                <c:pt idx="0">
                  <c:v>256</c:v>
                </c:pt>
              </c:strCache>
            </c:strRef>
          </c:tx>
          <c:cat>
            <c:strRef>
              <c:f>Sheet1!$G$239:$AA$239</c:f>
              <c:strCache>
                <c:ptCount val="21"/>
                <c:pt idx="0">
                  <c:v>bcsstk10</c:v>
                </c:pt>
                <c:pt idx="1">
                  <c:v>bcsstk13</c:v>
                </c:pt>
                <c:pt idx="2">
                  <c:v>bcsstk17</c:v>
                </c:pt>
                <c:pt idx="3">
                  <c:v>c8_mat11</c:v>
                </c:pt>
                <c:pt idx="4">
                  <c:v>cq9</c:v>
                </c:pt>
                <c:pt idx="5">
                  <c:v>fv1</c:v>
                </c:pt>
                <c:pt idx="6">
                  <c:v>kl02</c:v>
                </c:pt>
                <c:pt idx="7">
                  <c:v>lhr34c</c:v>
                </c:pt>
                <c:pt idx="8">
                  <c:v>pdb1HYS</c:v>
                </c:pt>
                <c:pt idx="9">
                  <c:v>psmigr_1</c:v>
                </c:pt>
                <c:pt idx="10">
                  <c:v>wiki-Vote</c:v>
                </c:pt>
                <c:pt idx="11">
                  <c:v>ca-HepTh</c:v>
                </c:pt>
                <c:pt idx="12">
                  <c:v>p2p-Gnutella04</c:v>
                </c:pt>
                <c:pt idx="13">
                  <c:v>as-735</c:v>
                </c:pt>
                <c:pt idx="14">
                  <c:v>amazon0312</c:v>
                </c:pt>
                <c:pt idx="15">
                  <c:v>Chem97ZtZ</c:v>
                </c:pt>
                <c:pt idx="16">
                  <c:v>airfoil1</c:v>
                </c:pt>
                <c:pt idx="17">
                  <c:v>diag</c:v>
                </c:pt>
                <c:pt idx="18">
                  <c:v>crack</c:v>
                </c:pt>
                <c:pt idx="19">
                  <c:v>shock-9</c:v>
                </c:pt>
                <c:pt idx="20">
                  <c:v>big_dual</c:v>
                </c:pt>
              </c:strCache>
            </c:strRef>
          </c:cat>
          <c:val>
            <c:numRef>
              <c:f>Sheet1!$G$272:$AA$272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-2.7696793002915401E-2</c:v>
                </c:pt>
                <c:pt idx="3">
                  <c:v>0.39225589225589202</c:v>
                </c:pt>
                <c:pt idx="4">
                  <c:v>-5.4902592175173001E-2</c:v>
                </c:pt>
                <c:pt idx="5">
                  <c:v>0</c:v>
                </c:pt>
                <c:pt idx="6">
                  <c:v>-2.8704852720266402E-2</c:v>
                </c:pt>
                <c:pt idx="7">
                  <c:v>1.82260024301336E-2</c:v>
                </c:pt>
                <c:pt idx="8">
                  <c:v>0.28487429034874201</c:v>
                </c:pt>
                <c:pt idx="9">
                  <c:v>0</c:v>
                </c:pt>
                <c:pt idx="10">
                  <c:v>0.37376237623762298</c:v>
                </c:pt>
                <c:pt idx="11">
                  <c:v>5.8689663432746403E-3</c:v>
                </c:pt>
                <c:pt idx="12">
                  <c:v>4.78512648582749E-2</c:v>
                </c:pt>
                <c:pt idx="13">
                  <c:v>0.33977900552486101</c:v>
                </c:pt>
                <c:pt idx="14">
                  <c:v>7.7729265212830802E-4</c:v>
                </c:pt>
                <c:pt idx="15">
                  <c:v>0.13586956521739099</c:v>
                </c:pt>
                <c:pt idx="16">
                  <c:v>0</c:v>
                </c:pt>
                <c:pt idx="17">
                  <c:v>0</c:v>
                </c:pt>
                <c:pt idx="18">
                  <c:v>0.118209474141677</c:v>
                </c:pt>
                <c:pt idx="19">
                  <c:v>-2.40805604203152E-2</c:v>
                </c:pt>
                <c:pt idx="20">
                  <c:v>-5.4746358613761897E-2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B7A-408A-A690-599FD9E68A9F}"/>
            </c:ext>
          </c:extLst>
        </c:ser>
        <c:ser>
          <c:idx val="9"/>
          <c:order val="2"/>
          <c:tx>
            <c:strRef>
              <c:f>Sheet1!$D$274</c:f>
              <c:strCache>
                <c:ptCount val="1"/>
                <c:pt idx="0">
                  <c:v>512</c:v>
                </c:pt>
              </c:strCache>
            </c:strRef>
          </c:tx>
          <c:cat>
            <c:strRef>
              <c:f>Sheet1!$G$239:$AA$239</c:f>
              <c:strCache>
                <c:ptCount val="21"/>
                <c:pt idx="0">
                  <c:v>bcsstk10</c:v>
                </c:pt>
                <c:pt idx="1">
                  <c:v>bcsstk13</c:v>
                </c:pt>
                <c:pt idx="2">
                  <c:v>bcsstk17</c:v>
                </c:pt>
                <c:pt idx="3">
                  <c:v>c8_mat11</c:v>
                </c:pt>
                <c:pt idx="4">
                  <c:v>cq9</c:v>
                </c:pt>
                <c:pt idx="5">
                  <c:v>fv1</c:v>
                </c:pt>
                <c:pt idx="6">
                  <c:v>kl02</c:v>
                </c:pt>
                <c:pt idx="7">
                  <c:v>lhr34c</c:v>
                </c:pt>
                <c:pt idx="8">
                  <c:v>pdb1HYS</c:v>
                </c:pt>
                <c:pt idx="9">
                  <c:v>psmigr_1</c:v>
                </c:pt>
                <c:pt idx="10">
                  <c:v>wiki-Vote</c:v>
                </c:pt>
                <c:pt idx="11">
                  <c:v>ca-HepTh</c:v>
                </c:pt>
                <c:pt idx="12">
                  <c:v>p2p-Gnutella04</c:v>
                </c:pt>
                <c:pt idx="13">
                  <c:v>as-735</c:v>
                </c:pt>
                <c:pt idx="14">
                  <c:v>amazon0312</c:v>
                </c:pt>
                <c:pt idx="15">
                  <c:v>Chem97ZtZ</c:v>
                </c:pt>
                <c:pt idx="16">
                  <c:v>airfoil1</c:v>
                </c:pt>
                <c:pt idx="17">
                  <c:v>diag</c:v>
                </c:pt>
                <c:pt idx="18">
                  <c:v>crack</c:v>
                </c:pt>
                <c:pt idx="19">
                  <c:v>shock-9</c:v>
                </c:pt>
                <c:pt idx="20">
                  <c:v>big_dual</c:v>
                </c:pt>
              </c:strCache>
            </c:strRef>
          </c:cat>
          <c:val>
            <c:numRef>
              <c:f>Sheet1!$G$274:$AA$274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-3.64431486880466E-2</c:v>
                </c:pt>
                <c:pt idx="3">
                  <c:v>0.39225589225589202</c:v>
                </c:pt>
                <c:pt idx="4">
                  <c:v>-9.6280792142972096E-2</c:v>
                </c:pt>
                <c:pt idx="5">
                  <c:v>0</c:v>
                </c:pt>
                <c:pt idx="6">
                  <c:v>-2.7496571092678401E-2</c:v>
                </c:pt>
                <c:pt idx="7">
                  <c:v>1.4175779667881701E-2</c:v>
                </c:pt>
                <c:pt idx="8">
                  <c:v>0.26115166261151601</c:v>
                </c:pt>
                <c:pt idx="9">
                  <c:v>0</c:v>
                </c:pt>
                <c:pt idx="10">
                  <c:v>0.37376237623762298</c:v>
                </c:pt>
                <c:pt idx="11">
                  <c:v>5.3898670499460998E-3</c:v>
                </c:pt>
                <c:pt idx="12">
                  <c:v>4.9070405364218202E-2</c:v>
                </c:pt>
                <c:pt idx="13">
                  <c:v>0.33977900552486101</c:v>
                </c:pt>
                <c:pt idx="14">
                  <c:v>-1.06451529012664E-3</c:v>
                </c:pt>
                <c:pt idx="15">
                  <c:v>0.13586956521739099</c:v>
                </c:pt>
                <c:pt idx="16">
                  <c:v>0</c:v>
                </c:pt>
                <c:pt idx="17">
                  <c:v>0</c:v>
                </c:pt>
                <c:pt idx="18">
                  <c:v>0.13472403302911701</c:v>
                </c:pt>
                <c:pt idx="19">
                  <c:v>-2.4518388791593598E-2</c:v>
                </c:pt>
                <c:pt idx="20">
                  <c:v>-5.67553992968357E-2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B7A-408A-A690-599FD9E68A9F}"/>
            </c:ext>
          </c:extLst>
        </c:ser>
        <c:ser>
          <c:idx val="0"/>
          <c:order val="3"/>
          <c:tx>
            <c:strRef>
              <c:f>Sheet1!$D$276</c:f>
              <c:strCache>
                <c:ptCount val="1"/>
                <c:pt idx="0">
                  <c:v>1024</c:v>
                </c:pt>
              </c:strCache>
            </c:strRef>
          </c:tx>
          <c:cat>
            <c:strRef>
              <c:f>Sheet1!$G$239:$AA$239</c:f>
              <c:strCache>
                <c:ptCount val="21"/>
                <c:pt idx="0">
                  <c:v>bcsstk10</c:v>
                </c:pt>
                <c:pt idx="1">
                  <c:v>bcsstk13</c:v>
                </c:pt>
                <c:pt idx="2">
                  <c:v>bcsstk17</c:v>
                </c:pt>
                <c:pt idx="3">
                  <c:v>c8_mat11</c:v>
                </c:pt>
                <c:pt idx="4">
                  <c:v>cq9</c:v>
                </c:pt>
                <c:pt idx="5">
                  <c:v>fv1</c:v>
                </c:pt>
                <c:pt idx="6">
                  <c:v>kl02</c:v>
                </c:pt>
                <c:pt idx="7">
                  <c:v>lhr34c</c:v>
                </c:pt>
                <c:pt idx="8">
                  <c:v>pdb1HYS</c:v>
                </c:pt>
                <c:pt idx="9">
                  <c:v>psmigr_1</c:v>
                </c:pt>
                <c:pt idx="10">
                  <c:v>wiki-Vote</c:v>
                </c:pt>
                <c:pt idx="11">
                  <c:v>ca-HepTh</c:v>
                </c:pt>
                <c:pt idx="12">
                  <c:v>p2p-Gnutella04</c:v>
                </c:pt>
                <c:pt idx="13">
                  <c:v>as-735</c:v>
                </c:pt>
                <c:pt idx="14">
                  <c:v>amazon0312</c:v>
                </c:pt>
                <c:pt idx="15">
                  <c:v>Chem97ZtZ</c:v>
                </c:pt>
                <c:pt idx="16">
                  <c:v>airfoil1</c:v>
                </c:pt>
                <c:pt idx="17">
                  <c:v>diag</c:v>
                </c:pt>
                <c:pt idx="18">
                  <c:v>crack</c:v>
                </c:pt>
                <c:pt idx="19">
                  <c:v>shock-9</c:v>
                </c:pt>
                <c:pt idx="20">
                  <c:v>big_dual</c:v>
                </c:pt>
              </c:strCache>
            </c:strRef>
          </c:cat>
          <c:val>
            <c:numRef>
              <c:f>Sheet1!$G$276:$AA$276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-2.62390670553935E-2</c:v>
                </c:pt>
                <c:pt idx="3">
                  <c:v>0.39225589225589202</c:v>
                </c:pt>
                <c:pt idx="4">
                  <c:v>-9.9983899533086396E-2</c:v>
                </c:pt>
                <c:pt idx="5">
                  <c:v>0</c:v>
                </c:pt>
                <c:pt idx="6">
                  <c:v>-2.5863758082424401E-2</c:v>
                </c:pt>
                <c:pt idx="7">
                  <c:v>1.13406237343053E-2</c:v>
                </c:pt>
                <c:pt idx="8">
                  <c:v>0.243106244931062</c:v>
                </c:pt>
                <c:pt idx="9">
                  <c:v>0</c:v>
                </c:pt>
                <c:pt idx="10">
                  <c:v>0.37376237623762298</c:v>
                </c:pt>
                <c:pt idx="11">
                  <c:v>-1.04204096298957E-2</c:v>
                </c:pt>
                <c:pt idx="12">
                  <c:v>3.9317281316671698E-2</c:v>
                </c:pt>
                <c:pt idx="13">
                  <c:v>0.33977900552486101</c:v>
                </c:pt>
                <c:pt idx="14">
                  <c:v>-1.8943980027335201E-3</c:v>
                </c:pt>
                <c:pt idx="15">
                  <c:v>0.13586956521739099</c:v>
                </c:pt>
                <c:pt idx="16">
                  <c:v>0</c:v>
                </c:pt>
                <c:pt idx="17">
                  <c:v>0</c:v>
                </c:pt>
                <c:pt idx="18">
                  <c:v>9.6914385049978194E-2</c:v>
                </c:pt>
                <c:pt idx="19">
                  <c:v>-3.2399299474605903E-2</c:v>
                </c:pt>
                <c:pt idx="20">
                  <c:v>-6.6298342541436406E-2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B7A-408A-A690-599FD9E68A9F}"/>
            </c:ext>
          </c:extLst>
        </c:ser>
        <c:ser>
          <c:idx val="10"/>
          <c:order val="4"/>
          <c:tx>
            <c:strRef>
              <c:f>Sheet1!$D$278</c:f>
              <c:strCache>
                <c:ptCount val="1"/>
                <c:pt idx="0">
                  <c:v>2048</c:v>
                </c:pt>
              </c:strCache>
            </c:strRef>
          </c:tx>
          <c:cat>
            <c:strRef>
              <c:f>Sheet1!$G$239:$AA$239</c:f>
              <c:strCache>
                <c:ptCount val="21"/>
                <c:pt idx="0">
                  <c:v>bcsstk10</c:v>
                </c:pt>
                <c:pt idx="1">
                  <c:v>bcsstk13</c:v>
                </c:pt>
                <c:pt idx="2">
                  <c:v>bcsstk17</c:v>
                </c:pt>
                <c:pt idx="3">
                  <c:v>c8_mat11</c:v>
                </c:pt>
                <c:pt idx="4">
                  <c:v>cq9</c:v>
                </c:pt>
                <c:pt idx="5">
                  <c:v>fv1</c:v>
                </c:pt>
                <c:pt idx="6">
                  <c:v>kl02</c:v>
                </c:pt>
                <c:pt idx="7">
                  <c:v>lhr34c</c:v>
                </c:pt>
                <c:pt idx="8">
                  <c:v>pdb1HYS</c:v>
                </c:pt>
                <c:pt idx="9">
                  <c:v>psmigr_1</c:v>
                </c:pt>
                <c:pt idx="10">
                  <c:v>wiki-Vote</c:v>
                </c:pt>
                <c:pt idx="11">
                  <c:v>ca-HepTh</c:v>
                </c:pt>
                <c:pt idx="12">
                  <c:v>p2p-Gnutella04</c:v>
                </c:pt>
                <c:pt idx="13">
                  <c:v>as-735</c:v>
                </c:pt>
                <c:pt idx="14">
                  <c:v>amazon0312</c:v>
                </c:pt>
                <c:pt idx="15">
                  <c:v>Chem97ZtZ</c:v>
                </c:pt>
                <c:pt idx="16">
                  <c:v>airfoil1</c:v>
                </c:pt>
                <c:pt idx="17">
                  <c:v>diag</c:v>
                </c:pt>
                <c:pt idx="18">
                  <c:v>crack</c:v>
                </c:pt>
                <c:pt idx="19">
                  <c:v>shock-9</c:v>
                </c:pt>
                <c:pt idx="20">
                  <c:v>big_dual</c:v>
                </c:pt>
              </c:strCache>
            </c:strRef>
          </c:cat>
          <c:val>
            <c:numRef>
              <c:f>Sheet1!$G$278:$AA$278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-4.3731778425655898E-2</c:v>
                </c:pt>
                <c:pt idx="3">
                  <c:v>0.39225589225589202</c:v>
                </c:pt>
                <c:pt idx="4">
                  <c:v>-0.136531959426823</c:v>
                </c:pt>
                <c:pt idx="5">
                  <c:v>0</c:v>
                </c:pt>
                <c:pt idx="6">
                  <c:v>-2.4361570112990599E-2</c:v>
                </c:pt>
                <c:pt idx="7">
                  <c:v>1.7010935601457999E-2</c:v>
                </c:pt>
                <c:pt idx="8">
                  <c:v>0.264598540145985</c:v>
                </c:pt>
                <c:pt idx="9">
                  <c:v>0</c:v>
                </c:pt>
                <c:pt idx="10">
                  <c:v>0.37376237623762298</c:v>
                </c:pt>
                <c:pt idx="11">
                  <c:v>2.3236315726434299E-2</c:v>
                </c:pt>
                <c:pt idx="12">
                  <c:v>4.0231636696129197E-2</c:v>
                </c:pt>
                <c:pt idx="13">
                  <c:v>0.33977900552486101</c:v>
                </c:pt>
                <c:pt idx="14">
                  <c:v>-2.22496409717025E-3</c:v>
                </c:pt>
                <c:pt idx="15">
                  <c:v>0.13586956521739099</c:v>
                </c:pt>
                <c:pt idx="16">
                  <c:v>0</c:v>
                </c:pt>
                <c:pt idx="17">
                  <c:v>0</c:v>
                </c:pt>
                <c:pt idx="18">
                  <c:v>0.117774880486744</c:v>
                </c:pt>
                <c:pt idx="19">
                  <c:v>-2.8896672504378201E-2</c:v>
                </c:pt>
                <c:pt idx="20">
                  <c:v>-5.7759919638372598E-2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B7A-408A-A690-599FD9E68A9F}"/>
            </c:ext>
          </c:extLst>
        </c:ser>
        <c:ser>
          <c:idx val="1"/>
          <c:order val="5"/>
          <c:tx>
            <c:strRef>
              <c:f>Sheet1!$F$271</c:f>
              <c:strCache>
                <c:ptCount val="1"/>
                <c:pt idx="0">
                  <c:v>Avg.128</c:v>
                </c:pt>
              </c:strCache>
            </c:strRef>
          </c:tx>
          <c:cat>
            <c:strRef>
              <c:f>Sheet1!$G$239:$AA$239</c:f>
              <c:strCache>
                <c:ptCount val="21"/>
                <c:pt idx="0">
                  <c:v>bcsstk10</c:v>
                </c:pt>
                <c:pt idx="1">
                  <c:v>bcsstk13</c:v>
                </c:pt>
                <c:pt idx="2">
                  <c:v>bcsstk17</c:v>
                </c:pt>
                <c:pt idx="3">
                  <c:v>c8_mat11</c:v>
                </c:pt>
                <c:pt idx="4">
                  <c:v>cq9</c:v>
                </c:pt>
                <c:pt idx="5">
                  <c:v>fv1</c:v>
                </c:pt>
                <c:pt idx="6">
                  <c:v>kl02</c:v>
                </c:pt>
                <c:pt idx="7">
                  <c:v>lhr34c</c:v>
                </c:pt>
                <c:pt idx="8">
                  <c:v>pdb1HYS</c:v>
                </c:pt>
                <c:pt idx="9">
                  <c:v>psmigr_1</c:v>
                </c:pt>
                <c:pt idx="10">
                  <c:v>wiki-Vote</c:v>
                </c:pt>
                <c:pt idx="11">
                  <c:v>ca-HepTh</c:v>
                </c:pt>
                <c:pt idx="12">
                  <c:v>p2p-Gnutella04</c:v>
                </c:pt>
                <c:pt idx="13">
                  <c:v>as-735</c:v>
                </c:pt>
                <c:pt idx="14">
                  <c:v>amazon0312</c:v>
                </c:pt>
                <c:pt idx="15">
                  <c:v>Chem97ZtZ</c:v>
                </c:pt>
                <c:pt idx="16">
                  <c:v>airfoil1</c:v>
                </c:pt>
                <c:pt idx="17">
                  <c:v>diag</c:v>
                </c:pt>
                <c:pt idx="18">
                  <c:v>crack</c:v>
                </c:pt>
                <c:pt idx="19">
                  <c:v>shock-9</c:v>
                </c:pt>
                <c:pt idx="20">
                  <c:v>big_dual</c:v>
                </c:pt>
              </c:strCache>
            </c:strRef>
          </c:cat>
          <c:val>
            <c:numRef>
              <c:f>Sheet1!$G$271:$AA$271</c:f>
              <c:numCache>
                <c:formatCode>General</c:formatCode>
                <c:ptCount val="21"/>
                <c:pt idx="0">
                  <c:v>7.4724506230931451E-2</c:v>
                </c:pt>
                <c:pt idx="1">
                  <c:v>7.4724506230931451E-2</c:v>
                </c:pt>
                <c:pt idx="2">
                  <c:v>7.4724506230931451E-2</c:v>
                </c:pt>
                <c:pt idx="3">
                  <c:v>7.4724506230931451E-2</c:v>
                </c:pt>
                <c:pt idx="4">
                  <c:v>7.4724506230931451E-2</c:v>
                </c:pt>
                <c:pt idx="5">
                  <c:v>7.4724506230931451E-2</c:v>
                </c:pt>
                <c:pt idx="6">
                  <c:v>7.4724506230931451E-2</c:v>
                </c:pt>
                <c:pt idx="7">
                  <c:v>7.4724506230931451E-2</c:v>
                </c:pt>
                <c:pt idx="8">
                  <c:v>7.4724506230931451E-2</c:v>
                </c:pt>
                <c:pt idx="9">
                  <c:v>7.4724506230931451E-2</c:v>
                </c:pt>
                <c:pt idx="10">
                  <c:v>7.4724506230931451E-2</c:v>
                </c:pt>
                <c:pt idx="11">
                  <c:v>7.4724506230931451E-2</c:v>
                </c:pt>
                <c:pt idx="12">
                  <c:v>7.4724506230931451E-2</c:v>
                </c:pt>
                <c:pt idx="13">
                  <c:v>7.4724506230931451E-2</c:v>
                </c:pt>
                <c:pt idx="14">
                  <c:v>7.4724506230931451E-2</c:v>
                </c:pt>
                <c:pt idx="15">
                  <c:v>7.4724506230931451E-2</c:v>
                </c:pt>
                <c:pt idx="16">
                  <c:v>7.4724506230931451E-2</c:v>
                </c:pt>
                <c:pt idx="17">
                  <c:v>7.4724506230931451E-2</c:v>
                </c:pt>
                <c:pt idx="18">
                  <c:v>7.4724506230931451E-2</c:v>
                </c:pt>
                <c:pt idx="19">
                  <c:v>7.4724506230931451E-2</c:v>
                </c:pt>
                <c:pt idx="20">
                  <c:v>7.4724506230931451E-2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B7A-408A-A690-599FD9E68A9F}"/>
            </c:ext>
          </c:extLst>
        </c:ser>
        <c:ser>
          <c:idx val="2"/>
          <c:order val="6"/>
          <c:tx>
            <c:strRef>
              <c:f>Sheet1!$F$273</c:f>
              <c:strCache>
                <c:ptCount val="1"/>
                <c:pt idx="0">
                  <c:v>Avg.256</c:v>
                </c:pt>
              </c:strCache>
            </c:strRef>
          </c:tx>
          <c:cat>
            <c:strRef>
              <c:f>Sheet1!$G$239:$AA$239</c:f>
              <c:strCache>
                <c:ptCount val="21"/>
                <c:pt idx="0">
                  <c:v>bcsstk10</c:v>
                </c:pt>
                <c:pt idx="1">
                  <c:v>bcsstk13</c:v>
                </c:pt>
                <c:pt idx="2">
                  <c:v>bcsstk17</c:v>
                </c:pt>
                <c:pt idx="3">
                  <c:v>c8_mat11</c:v>
                </c:pt>
                <c:pt idx="4">
                  <c:v>cq9</c:v>
                </c:pt>
                <c:pt idx="5">
                  <c:v>fv1</c:v>
                </c:pt>
                <c:pt idx="6">
                  <c:v>kl02</c:v>
                </c:pt>
                <c:pt idx="7">
                  <c:v>lhr34c</c:v>
                </c:pt>
                <c:pt idx="8">
                  <c:v>pdb1HYS</c:v>
                </c:pt>
                <c:pt idx="9">
                  <c:v>psmigr_1</c:v>
                </c:pt>
                <c:pt idx="10">
                  <c:v>wiki-Vote</c:v>
                </c:pt>
                <c:pt idx="11">
                  <c:v>ca-HepTh</c:v>
                </c:pt>
                <c:pt idx="12">
                  <c:v>p2p-Gnutella04</c:v>
                </c:pt>
                <c:pt idx="13">
                  <c:v>as-735</c:v>
                </c:pt>
                <c:pt idx="14">
                  <c:v>amazon0312</c:v>
                </c:pt>
                <c:pt idx="15">
                  <c:v>Chem97ZtZ</c:v>
                </c:pt>
                <c:pt idx="16">
                  <c:v>airfoil1</c:v>
                </c:pt>
                <c:pt idx="17">
                  <c:v>diag</c:v>
                </c:pt>
                <c:pt idx="18">
                  <c:v>crack</c:v>
                </c:pt>
                <c:pt idx="19">
                  <c:v>shock-9</c:v>
                </c:pt>
                <c:pt idx="20">
                  <c:v>big_dual</c:v>
                </c:pt>
              </c:strCache>
            </c:strRef>
          </c:cat>
          <c:val>
            <c:numRef>
              <c:f>Sheet1!$G$273:$AA$273</c:f>
              <c:numCache>
                <c:formatCode>General</c:formatCode>
                <c:ptCount val="21"/>
                <c:pt idx="0">
                  <c:v>7.273061776559836E-2</c:v>
                </c:pt>
                <c:pt idx="1">
                  <c:v>7.273061776559836E-2</c:v>
                </c:pt>
                <c:pt idx="2">
                  <c:v>7.273061776559836E-2</c:v>
                </c:pt>
                <c:pt idx="3">
                  <c:v>7.273061776559836E-2</c:v>
                </c:pt>
                <c:pt idx="4">
                  <c:v>7.273061776559836E-2</c:v>
                </c:pt>
                <c:pt idx="5">
                  <c:v>7.273061776559836E-2</c:v>
                </c:pt>
                <c:pt idx="6">
                  <c:v>7.273061776559836E-2</c:v>
                </c:pt>
                <c:pt idx="7">
                  <c:v>7.273061776559836E-2</c:v>
                </c:pt>
                <c:pt idx="8">
                  <c:v>7.273061776559836E-2</c:v>
                </c:pt>
                <c:pt idx="9">
                  <c:v>7.273061776559836E-2</c:v>
                </c:pt>
                <c:pt idx="10">
                  <c:v>7.273061776559836E-2</c:v>
                </c:pt>
                <c:pt idx="11">
                  <c:v>7.273061776559836E-2</c:v>
                </c:pt>
                <c:pt idx="12">
                  <c:v>7.273061776559836E-2</c:v>
                </c:pt>
                <c:pt idx="13">
                  <c:v>7.273061776559836E-2</c:v>
                </c:pt>
                <c:pt idx="14">
                  <c:v>7.273061776559836E-2</c:v>
                </c:pt>
                <c:pt idx="15">
                  <c:v>7.273061776559836E-2</c:v>
                </c:pt>
                <c:pt idx="16">
                  <c:v>7.273061776559836E-2</c:v>
                </c:pt>
                <c:pt idx="17">
                  <c:v>7.273061776559836E-2</c:v>
                </c:pt>
                <c:pt idx="18">
                  <c:v>7.273061776559836E-2</c:v>
                </c:pt>
                <c:pt idx="19">
                  <c:v>7.273061776559836E-2</c:v>
                </c:pt>
                <c:pt idx="20">
                  <c:v>7.273061776559836E-2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B7A-408A-A690-599FD9E68A9F}"/>
            </c:ext>
          </c:extLst>
        </c:ser>
        <c:ser>
          <c:idx val="3"/>
          <c:order val="7"/>
          <c:tx>
            <c:strRef>
              <c:f>Sheet1!$F$275</c:f>
              <c:strCache>
                <c:ptCount val="1"/>
                <c:pt idx="0">
                  <c:v>Avg.512</c:v>
                </c:pt>
              </c:strCache>
            </c:strRef>
          </c:tx>
          <c:cat>
            <c:strRef>
              <c:f>Sheet1!$G$239:$AA$239</c:f>
              <c:strCache>
                <c:ptCount val="21"/>
                <c:pt idx="0">
                  <c:v>bcsstk10</c:v>
                </c:pt>
                <c:pt idx="1">
                  <c:v>bcsstk13</c:v>
                </c:pt>
                <c:pt idx="2">
                  <c:v>bcsstk17</c:v>
                </c:pt>
                <c:pt idx="3">
                  <c:v>c8_mat11</c:v>
                </c:pt>
                <c:pt idx="4">
                  <c:v>cq9</c:v>
                </c:pt>
                <c:pt idx="5">
                  <c:v>fv1</c:v>
                </c:pt>
                <c:pt idx="6">
                  <c:v>kl02</c:v>
                </c:pt>
                <c:pt idx="7">
                  <c:v>lhr34c</c:v>
                </c:pt>
                <c:pt idx="8">
                  <c:v>pdb1HYS</c:v>
                </c:pt>
                <c:pt idx="9">
                  <c:v>psmigr_1</c:v>
                </c:pt>
                <c:pt idx="10">
                  <c:v>wiki-Vote</c:v>
                </c:pt>
                <c:pt idx="11">
                  <c:v>ca-HepTh</c:v>
                </c:pt>
                <c:pt idx="12">
                  <c:v>p2p-Gnutella04</c:v>
                </c:pt>
                <c:pt idx="13">
                  <c:v>as-735</c:v>
                </c:pt>
                <c:pt idx="14">
                  <c:v>amazon0312</c:v>
                </c:pt>
                <c:pt idx="15">
                  <c:v>Chem97ZtZ</c:v>
                </c:pt>
                <c:pt idx="16">
                  <c:v>airfoil1</c:v>
                </c:pt>
                <c:pt idx="17">
                  <c:v>diag</c:v>
                </c:pt>
                <c:pt idx="18">
                  <c:v>crack</c:v>
                </c:pt>
                <c:pt idx="19">
                  <c:v>shock-9</c:v>
                </c:pt>
                <c:pt idx="20">
                  <c:v>big_dual</c:v>
                </c:pt>
              </c:strCache>
            </c:strRef>
          </c:cat>
          <c:val>
            <c:numRef>
              <c:f>Sheet1!$G$275:$AA$275</c:f>
              <c:numCache>
                <c:formatCode>General</c:formatCode>
                <c:ptCount val="21"/>
                <c:pt idx="0">
                  <c:v>6.9696179602675851E-2</c:v>
                </c:pt>
                <c:pt idx="1">
                  <c:v>6.9696179602675851E-2</c:v>
                </c:pt>
                <c:pt idx="2">
                  <c:v>6.9696179602675851E-2</c:v>
                </c:pt>
                <c:pt idx="3">
                  <c:v>6.9696179602675851E-2</c:v>
                </c:pt>
                <c:pt idx="4">
                  <c:v>6.9696179602675851E-2</c:v>
                </c:pt>
                <c:pt idx="5">
                  <c:v>6.9696179602675851E-2</c:v>
                </c:pt>
                <c:pt idx="6">
                  <c:v>6.9696179602675851E-2</c:v>
                </c:pt>
                <c:pt idx="7">
                  <c:v>6.9696179602675851E-2</c:v>
                </c:pt>
                <c:pt idx="8">
                  <c:v>6.9696179602675851E-2</c:v>
                </c:pt>
                <c:pt idx="9">
                  <c:v>6.9696179602675851E-2</c:v>
                </c:pt>
                <c:pt idx="10">
                  <c:v>6.9696179602675851E-2</c:v>
                </c:pt>
                <c:pt idx="11">
                  <c:v>6.9696179602675851E-2</c:v>
                </c:pt>
                <c:pt idx="12">
                  <c:v>6.9696179602675851E-2</c:v>
                </c:pt>
                <c:pt idx="13">
                  <c:v>6.9696179602675851E-2</c:v>
                </c:pt>
                <c:pt idx="14">
                  <c:v>6.9696179602675851E-2</c:v>
                </c:pt>
                <c:pt idx="15">
                  <c:v>6.9696179602675851E-2</c:v>
                </c:pt>
                <c:pt idx="16">
                  <c:v>6.9696179602675851E-2</c:v>
                </c:pt>
                <c:pt idx="17">
                  <c:v>6.9696179602675851E-2</c:v>
                </c:pt>
                <c:pt idx="18">
                  <c:v>6.9696179602675851E-2</c:v>
                </c:pt>
                <c:pt idx="19">
                  <c:v>6.9696179602675851E-2</c:v>
                </c:pt>
                <c:pt idx="20">
                  <c:v>6.9696179602675851E-2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CB7A-408A-A690-599FD9E68A9F}"/>
            </c:ext>
          </c:extLst>
        </c:ser>
        <c:ser>
          <c:idx val="4"/>
          <c:order val="8"/>
          <c:tx>
            <c:strRef>
              <c:f>Sheet1!$F$277</c:f>
              <c:strCache>
                <c:ptCount val="1"/>
                <c:pt idx="0">
                  <c:v>Avg.1024</c:v>
                </c:pt>
              </c:strCache>
            </c:strRef>
          </c:tx>
          <c:cat>
            <c:strRef>
              <c:f>Sheet1!$G$239:$AA$239</c:f>
              <c:strCache>
                <c:ptCount val="21"/>
                <c:pt idx="0">
                  <c:v>bcsstk10</c:v>
                </c:pt>
                <c:pt idx="1">
                  <c:v>bcsstk13</c:v>
                </c:pt>
                <c:pt idx="2">
                  <c:v>bcsstk17</c:v>
                </c:pt>
                <c:pt idx="3">
                  <c:v>c8_mat11</c:v>
                </c:pt>
                <c:pt idx="4">
                  <c:v>cq9</c:v>
                </c:pt>
                <c:pt idx="5">
                  <c:v>fv1</c:v>
                </c:pt>
                <c:pt idx="6">
                  <c:v>kl02</c:v>
                </c:pt>
                <c:pt idx="7">
                  <c:v>lhr34c</c:v>
                </c:pt>
                <c:pt idx="8">
                  <c:v>pdb1HYS</c:v>
                </c:pt>
                <c:pt idx="9">
                  <c:v>psmigr_1</c:v>
                </c:pt>
                <c:pt idx="10">
                  <c:v>wiki-Vote</c:v>
                </c:pt>
                <c:pt idx="11">
                  <c:v>ca-HepTh</c:v>
                </c:pt>
                <c:pt idx="12">
                  <c:v>p2p-Gnutella04</c:v>
                </c:pt>
                <c:pt idx="13">
                  <c:v>as-735</c:v>
                </c:pt>
                <c:pt idx="14">
                  <c:v>amazon0312</c:v>
                </c:pt>
                <c:pt idx="15">
                  <c:v>Chem97ZtZ</c:v>
                </c:pt>
                <c:pt idx="16">
                  <c:v>airfoil1</c:v>
                </c:pt>
                <c:pt idx="17">
                  <c:v>diag</c:v>
                </c:pt>
                <c:pt idx="18">
                  <c:v>crack</c:v>
                </c:pt>
                <c:pt idx="19">
                  <c:v>shock-9</c:v>
                </c:pt>
                <c:pt idx="20">
                  <c:v>big_dual</c:v>
                </c:pt>
              </c:strCache>
            </c:strRef>
          </c:cat>
          <c:val>
            <c:numRef>
              <c:f>Sheet1!$G$277:$AA$277</c:f>
              <c:numCache>
                <c:formatCode>General</c:formatCode>
                <c:ptCount val="21"/>
                <c:pt idx="0">
                  <c:v>6.5202199997533739E-2</c:v>
                </c:pt>
                <c:pt idx="1">
                  <c:v>6.5202199997533739E-2</c:v>
                </c:pt>
                <c:pt idx="2">
                  <c:v>6.5202199997533739E-2</c:v>
                </c:pt>
                <c:pt idx="3">
                  <c:v>6.5202199997533739E-2</c:v>
                </c:pt>
                <c:pt idx="4">
                  <c:v>6.5202199997533739E-2</c:v>
                </c:pt>
                <c:pt idx="5">
                  <c:v>6.5202199997533739E-2</c:v>
                </c:pt>
                <c:pt idx="6">
                  <c:v>6.5202199997533739E-2</c:v>
                </c:pt>
                <c:pt idx="7">
                  <c:v>6.5202199997533739E-2</c:v>
                </c:pt>
                <c:pt idx="8">
                  <c:v>6.5202199997533739E-2</c:v>
                </c:pt>
                <c:pt idx="9">
                  <c:v>6.5202199997533739E-2</c:v>
                </c:pt>
                <c:pt idx="10">
                  <c:v>6.5202199997533739E-2</c:v>
                </c:pt>
                <c:pt idx="11">
                  <c:v>6.5202199997533739E-2</c:v>
                </c:pt>
                <c:pt idx="12">
                  <c:v>6.5202199997533739E-2</c:v>
                </c:pt>
                <c:pt idx="13">
                  <c:v>6.5202199997533739E-2</c:v>
                </c:pt>
                <c:pt idx="14">
                  <c:v>6.5202199997533739E-2</c:v>
                </c:pt>
                <c:pt idx="15">
                  <c:v>6.5202199997533739E-2</c:v>
                </c:pt>
                <c:pt idx="16">
                  <c:v>6.5202199997533739E-2</c:v>
                </c:pt>
                <c:pt idx="17">
                  <c:v>6.5202199997533739E-2</c:v>
                </c:pt>
                <c:pt idx="18">
                  <c:v>6.5202199997533739E-2</c:v>
                </c:pt>
                <c:pt idx="19">
                  <c:v>6.5202199997533739E-2</c:v>
                </c:pt>
                <c:pt idx="20">
                  <c:v>6.5202199997533739E-2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CB7A-408A-A690-599FD9E68A9F}"/>
            </c:ext>
          </c:extLst>
        </c:ser>
        <c:ser>
          <c:idx val="5"/>
          <c:order val="9"/>
          <c:tx>
            <c:strRef>
              <c:f>Sheet1!$F$279</c:f>
              <c:strCache>
                <c:ptCount val="1"/>
                <c:pt idx="0">
                  <c:v>Avg.2048</c:v>
                </c:pt>
              </c:strCache>
            </c:strRef>
          </c:tx>
          <c:cat>
            <c:strRef>
              <c:f>Sheet1!$G$239:$AA$239</c:f>
              <c:strCache>
                <c:ptCount val="21"/>
                <c:pt idx="0">
                  <c:v>bcsstk10</c:v>
                </c:pt>
                <c:pt idx="1">
                  <c:v>bcsstk13</c:v>
                </c:pt>
                <c:pt idx="2">
                  <c:v>bcsstk17</c:v>
                </c:pt>
                <c:pt idx="3">
                  <c:v>c8_mat11</c:v>
                </c:pt>
                <c:pt idx="4">
                  <c:v>cq9</c:v>
                </c:pt>
                <c:pt idx="5">
                  <c:v>fv1</c:v>
                </c:pt>
                <c:pt idx="6">
                  <c:v>kl02</c:v>
                </c:pt>
                <c:pt idx="7">
                  <c:v>lhr34c</c:v>
                </c:pt>
                <c:pt idx="8">
                  <c:v>pdb1HYS</c:v>
                </c:pt>
                <c:pt idx="9">
                  <c:v>psmigr_1</c:v>
                </c:pt>
                <c:pt idx="10">
                  <c:v>wiki-Vote</c:v>
                </c:pt>
                <c:pt idx="11">
                  <c:v>ca-HepTh</c:v>
                </c:pt>
                <c:pt idx="12">
                  <c:v>p2p-Gnutella04</c:v>
                </c:pt>
                <c:pt idx="13">
                  <c:v>as-735</c:v>
                </c:pt>
                <c:pt idx="14">
                  <c:v>amazon0312</c:v>
                </c:pt>
                <c:pt idx="15">
                  <c:v>Chem97ZtZ</c:v>
                </c:pt>
                <c:pt idx="16">
                  <c:v>airfoil1</c:v>
                </c:pt>
                <c:pt idx="17">
                  <c:v>diag</c:v>
                </c:pt>
                <c:pt idx="18">
                  <c:v>crack</c:v>
                </c:pt>
                <c:pt idx="19">
                  <c:v>shock-9</c:v>
                </c:pt>
                <c:pt idx="20">
                  <c:v>big_dual</c:v>
                </c:pt>
              </c:strCache>
            </c:strRef>
          </c:cat>
          <c:val>
            <c:numRef>
              <c:f>Sheet1!$G$279:$AA$279</c:f>
              <c:numCache>
                <c:formatCode>General</c:formatCode>
                <c:ptCount val="21"/>
                <c:pt idx="0">
                  <c:v>6.7191061127958404E-2</c:v>
                </c:pt>
                <c:pt idx="1">
                  <c:v>6.7191061127958404E-2</c:v>
                </c:pt>
                <c:pt idx="2">
                  <c:v>6.7191061127958404E-2</c:v>
                </c:pt>
                <c:pt idx="3">
                  <c:v>6.7191061127958404E-2</c:v>
                </c:pt>
                <c:pt idx="4">
                  <c:v>6.7191061127958404E-2</c:v>
                </c:pt>
                <c:pt idx="5">
                  <c:v>6.7191061127958404E-2</c:v>
                </c:pt>
                <c:pt idx="6">
                  <c:v>6.7191061127958404E-2</c:v>
                </c:pt>
                <c:pt idx="7">
                  <c:v>6.7191061127958404E-2</c:v>
                </c:pt>
                <c:pt idx="8">
                  <c:v>6.7191061127958404E-2</c:v>
                </c:pt>
                <c:pt idx="9">
                  <c:v>6.7191061127958404E-2</c:v>
                </c:pt>
                <c:pt idx="10">
                  <c:v>6.7191061127958404E-2</c:v>
                </c:pt>
                <c:pt idx="11">
                  <c:v>6.7191061127958404E-2</c:v>
                </c:pt>
                <c:pt idx="12">
                  <c:v>6.7191061127958404E-2</c:v>
                </c:pt>
                <c:pt idx="13">
                  <c:v>6.7191061127958404E-2</c:v>
                </c:pt>
                <c:pt idx="14">
                  <c:v>6.7191061127958404E-2</c:v>
                </c:pt>
                <c:pt idx="15">
                  <c:v>6.7191061127958404E-2</c:v>
                </c:pt>
                <c:pt idx="16">
                  <c:v>6.7191061127958404E-2</c:v>
                </c:pt>
                <c:pt idx="17">
                  <c:v>6.7191061127958404E-2</c:v>
                </c:pt>
                <c:pt idx="18">
                  <c:v>6.7191061127958404E-2</c:v>
                </c:pt>
                <c:pt idx="19">
                  <c:v>6.7191061127958404E-2</c:v>
                </c:pt>
                <c:pt idx="20">
                  <c:v>6.7191061127958404E-2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CB7A-408A-A690-599FD9E68A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5729599"/>
        <c:axId val="1177765871"/>
      </c:lineChart>
      <c:catAx>
        <c:axId val="725729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Matrix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7765871"/>
        <c:crossesAt val="-1"/>
        <c:auto val="1"/>
        <c:lblAlgn val="ctr"/>
        <c:lblOffset val="100"/>
        <c:noMultiLvlLbl val="0"/>
      </c:catAx>
      <c:valAx>
        <c:axId val="1177765871"/>
        <c:scaling>
          <c:orientation val="minMax"/>
          <c:max val="0.5"/>
          <c:min val="-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Memory</a:t>
                </a:r>
                <a:r>
                  <a:rPr lang="en-US" baseline="0"/>
                  <a:t> Access Reduction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5729599"/>
        <c:crosses val="autoZero"/>
        <c:crossBetween val="between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Page</a:t>
            </a:r>
            <a:r>
              <a:rPr lang="en-US" baseline="0"/>
              <a:t> Size = 256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8"/>
          <c:order val="0"/>
          <c:tx>
            <c:strRef>
              <c:f>Sheet1!$D$286</c:f>
              <c:strCache>
                <c:ptCount val="1"/>
                <c:pt idx="0">
                  <c:v>256</c:v>
                </c:pt>
              </c:strCache>
            </c:strRef>
          </c:tx>
          <c:cat>
            <c:strRef>
              <c:f>Sheet1!$G$239:$AA$239</c:f>
              <c:strCache>
                <c:ptCount val="21"/>
                <c:pt idx="0">
                  <c:v>bcsstk10</c:v>
                </c:pt>
                <c:pt idx="1">
                  <c:v>bcsstk13</c:v>
                </c:pt>
                <c:pt idx="2">
                  <c:v>bcsstk17</c:v>
                </c:pt>
                <c:pt idx="3">
                  <c:v>c8_mat11</c:v>
                </c:pt>
                <c:pt idx="4">
                  <c:v>cq9</c:v>
                </c:pt>
                <c:pt idx="5">
                  <c:v>fv1</c:v>
                </c:pt>
                <c:pt idx="6">
                  <c:v>kl02</c:v>
                </c:pt>
                <c:pt idx="7">
                  <c:v>lhr34c</c:v>
                </c:pt>
                <c:pt idx="8">
                  <c:v>pdb1HYS</c:v>
                </c:pt>
                <c:pt idx="9">
                  <c:v>psmigr_1</c:v>
                </c:pt>
                <c:pt idx="10">
                  <c:v>wiki-Vote</c:v>
                </c:pt>
                <c:pt idx="11">
                  <c:v>ca-HepTh</c:v>
                </c:pt>
                <c:pt idx="12">
                  <c:v>p2p-Gnutella04</c:v>
                </c:pt>
                <c:pt idx="13">
                  <c:v>as-735</c:v>
                </c:pt>
                <c:pt idx="14">
                  <c:v>amazon0312</c:v>
                </c:pt>
                <c:pt idx="15">
                  <c:v>Chem97ZtZ</c:v>
                </c:pt>
                <c:pt idx="16">
                  <c:v>airfoil1</c:v>
                </c:pt>
                <c:pt idx="17">
                  <c:v>diag</c:v>
                </c:pt>
                <c:pt idx="18">
                  <c:v>crack</c:v>
                </c:pt>
                <c:pt idx="19">
                  <c:v>shock-9</c:v>
                </c:pt>
                <c:pt idx="20">
                  <c:v>big_dual</c:v>
                </c:pt>
              </c:strCache>
            </c:strRef>
          </c:cat>
          <c:val>
            <c:numRef>
              <c:f>Sheet1!$G$286:$AA$286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0.13636363636363599</c:v>
                </c:pt>
                <c:pt idx="4">
                  <c:v>0.157244655581947</c:v>
                </c:pt>
                <c:pt idx="5">
                  <c:v>0</c:v>
                </c:pt>
                <c:pt idx="6">
                  <c:v>-3.34184759472115E-2</c:v>
                </c:pt>
                <c:pt idx="7">
                  <c:v>6.1649659863945501E-2</c:v>
                </c:pt>
                <c:pt idx="8">
                  <c:v>0.27104377104377098</c:v>
                </c:pt>
                <c:pt idx="9">
                  <c:v>0</c:v>
                </c:pt>
                <c:pt idx="10">
                  <c:v>1.36452241715399E-2</c:v>
                </c:pt>
                <c:pt idx="11">
                  <c:v>2.6771653543307E-2</c:v>
                </c:pt>
                <c:pt idx="12">
                  <c:v>0.134860050890585</c:v>
                </c:pt>
                <c:pt idx="13">
                  <c:v>2.0491803278688499E-2</c:v>
                </c:pt>
                <c:pt idx="14">
                  <c:v>7.8151048708705994E-3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7.38060781476121E-2</c:v>
                </c:pt>
                <c:pt idx="19">
                  <c:v>0</c:v>
                </c:pt>
                <c:pt idx="20">
                  <c:v>1.0852713178294501E-2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1EF-4F50-8330-7B7B906CBAB7}"/>
            </c:ext>
          </c:extLst>
        </c:ser>
        <c:ser>
          <c:idx val="9"/>
          <c:order val="1"/>
          <c:tx>
            <c:strRef>
              <c:f>Sheet1!$D$288</c:f>
              <c:strCache>
                <c:ptCount val="1"/>
                <c:pt idx="0">
                  <c:v>512</c:v>
                </c:pt>
              </c:strCache>
            </c:strRef>
          </c:tx>
          <c:cat>
            <c:strRef>
              <c:f>Sheet1!$G$239:$AA$239</c:f>
              <c:strCache>
                <c:ptCount val="21"/>
                <c:pt idx="0">
                  <c:v>bcsstk10</c:v>
                </c:pt>
                <c:pt idx="1">
                  <c:v>bcsstk13</c:v>
                </c:pt>
                <c:pt idx="2">
                  <c:v>bcsstk17</c:v>
                </c:pt>
                <c:pt idx="3">
                  <c:v>c8_mat11</c:v>
                </c:pt>
                <c:pt idx="4">
                  <c:v>cq9</c:v>
                </c:pt>
                <c:pt idx="5">
                  <c:v>fv1</c:v>
                </c:pt>
                <c:pt idx="6">
                  <c:v>kl02</c:v>
                </c:pt>
                <c:pt idx="7">
                  <c:v>lhr34c</c:v>
                </c:pt>
                <c:pt idx="8">
                  <c:v>pdb1HYS</c:v>
                </c:pt>
                <c:pt idx="9">
                  <c:v>psmigr_1</c:v>
                </c:pt>
                <c:pt idx="10">
                  <c:v>wiki-Vote</c:v>
                </c:pt>
                <c:pt idx="11">
                  <c:v>ca-HepTh</c:v>
                </c:pt>
                <c:pt idx="12">
                  <c:v>p2p-Gnutella04</c:v>
                </c:pt>
                <c:pt idx="13">
                  <c:v>as-735</c:v>
                </c:pt>
                <c:pt idx="14">
                  <c:v>amazon0312</c:v>
                </c:pt>
                <c:pt idx="15">
                  <c:v>Chem97ZtZ</c:v>
                </c:pt>
                <c:pt idx="16">
                  <c:v>airfoil1</c:v>
                </c:pt>
                <c:pt idx="17">
                  <c:v>diag</c:v>
                </c:pt>
                <c:pt idx="18">
                  <c:v>crack</c:v>
                </c:pt>
                <c:pt idx="19">
                  <c:v>shock-9</c:v>
                </c:pt>
                <c:pt idx="20">
                  <c:v>big_dual</c:v>
                </c:pt>
              </c:strCache>
            </c:strRef>
          </c:cat>
          <c:val>
            <c:numRef>
              <c:f>Sheet1!$G$288:$AA$288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0.13636363636363599</c:v>
                </c:pt>
                <c:pt idx="4">
                  <c:v>0.117339667458432</c:v>
                </c:pt>
                <c:pt idx="5">
                  <c:v>0</c:v>
                </c:pt>
                <c:pt idx="6">
                  <c:v>-5.3639846743294998E-3</c:v>
                </c:pt>
                <c:pt idx="7">
                  <c:v>2.3809523809523801E-2</c:v>
                </c:pt>
                <c:pt idx="8">
                  <c:v>0.209876543209876</c:v>
                </c:pt>
                <c:pt idx="9">
                  <c:v>0</c:v>
                </c:pt>
                <c:pt idx="10">
                  <c:v>1.36452241715399E-2</c:v>
                </c:pt>
                <c:pt idx="11">
                  <c:v>2.6771653543307E-2</c:v>
                </c:pt>
                <c:pt idx="12">
                  <c:v>0.134860050890585</c:v>
                </c:pt>
                <c:pt idx="13">
                  <c:v>2.0491803278688499E-2</c:v>
                </c:pt>
                <c:pt idx="14">
                  <c:v>3.2423463561015101E-4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7.38060781476121E-2</c:v>
                </c:pt>
                <c:pt idx="19">
                  <c:v>-1.09649122807017E-2</c:v>
                </c:pt>
                <c:pt idx="20">
                  <c:v>-1.75710594315245E-2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1EF-4F50-8330-7B7B906CBAB7}"/>
            </c:ext>
          </c:extLst>
        </c:ser>
        <c:ser>
          <c:idx val="10"/>
          <c:order val="2"/>
          <c:tx>
            <c:strRef>
              <c:f>Sheet1!$D$290</c:f>
              <c:strCache>
                <c:ptCount val="1"/>
                <c:pt idx="0">
                  <c:v>1024</c:v>
                </c:pt>
              </c:strCache>
            </c:strRef>
          </c:tx>
          <c:cat>
            <c:strRef>
              <c:f>Sheet1!$G$239:$AA$239</c:f>
              <c:strCache>
                <c:ptCount val="21"/>
                <c:pt idx="0">
                  <c:v>bcsstk10</c:v>
                </c:pt>
                <c:pt idx="1">
                  <c:v>bcsstk13</c:v>
                </c:pt>
                <c:pt idx="2">
                  <c:v>bcsstk17</c:v>
                </c:pt>
                <c:pt idx="3">
                  <c:v>c8_mat11</c:v>
                </c:pt>
                <c:pt idx="4">
                  <c:v>cq9</c:v>
                </c:pt>
                <c:pt idx="5">
                  <c:v>fv1</c:v>
                </c:pt>
                <c:pt idx="6">
                  <c:v>kl02</c:v>
                </c:pt>
                <c:pt idx="7">
                  <c:v>lhr34c</c:v>
                </c:pt>
                <c:pt idx="8">
                  <c:v>pdb1HYS</c:v>
                </c:pt>
                <c:pt idx="9">
                  <c:v>psmigr_1</c:v>
                </c:pt>
                <c:pt idx="10">
                  <c:v>wiki-Vote</c:v>
                </c:pt>
                <c:pt idx="11">
                  <c:v>ca-HepTh</c:v>
                </c:pt>
                <c:pt idx="12">
                  <c:v>p2p-Gnutella04</c:v>
                </c:pt>
                <c:pt idx="13">
                  <c:v>as-735</c:v>
                </c:pt>
                <c:pt idx="14">
                  <c:v>amazon0312</c:v>
                </c:pt>
                <c:pt idx="15">
                  <c:v>Chem97ZtZ</c:v>
                </c:pt>
                <c:pt idx="16">
                  <c:v>airfoil1</c:v>
                </c:pt>
                <c:pt idx="17">
                  <c:v>diag</c:v>
                </c:pt>
                <c:pt idx="18">
                  <c:v>crack</c:v>
                </c:pt>
                <c:pt idx="19">
                  <c:v>shock-9</c:v>
                </c:pt>
                <c:pt idx="20">
                  <c:v>big_dual</c:v>
                </c:pt>
              </c:strCache>
            </c:strRef>
          </c:cat>
          <c:val>
            <c:numRef>
              <c:f>Sheet1!$G$290:$AA$290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0.13636363636363599</c:v>
                </c:pt>
                <c:pt idx="4">
                  <c:v>0.12114014251781401</c:v>
                </c:pt>
                <c:pt idx="5">
                  <c:v>0</c:v>
                </c:pt>
                <c:pt idx="6">
                  <c:v>-4.5551298424861596E-3</c:v>
                </c:pt>
                <c:pt idx="7">
                  <c:v>2.21088435374149E-2</c:v>
                </c:pt>
                <c:pt idx="8">
                  <c:v>0.193322109988776</c:v>
                </c:pt>
                <c:pt idx="9">
                  <c:v>0</c:v>
                </c:pt>
                <c:pt idx="10">
                  <c:v>1.36452241715399E-2</c:v>
                </c:pt>
                <c:pt idx="11">
                  <c:v>2.6771653543307E-2</c:v>
                </c:pt>
                <c:pt idx="12">
                  <c:v>0.134860050890585</c:v>
                </c:pt>
                <c:pt idx="13">
                  <c:v>2.0491803278688499E-2</c:v>
                </c:pt>
                <c:pt idx="14">
                  <c:v>-5.3255867071675504E-3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7.38060781476121E-2</c:v>
                </c:pt>
                <c:pt idx="19">
                  <c:v>-1.09649122807017E-2</c:v>
                </c:pt>
                <c:pt idx="20">
                  <c:v>-2.3772609819121399E-2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1EF-4F50-8330-7B7B906CBAB7}"/>
            </c:ext>
          </c:extLst>
        </c:ser>
        <c:ser>
          <c:idx val="11"/>
          <c:order val="3"/>
          <c:tx>
            <c:strRef>
              <c:f>Sheet1!$D$292</c:f>
              <c:strCache>
                <c:ptCount val="1"/>
                <c:pt idx="0">
                  <c:v>2048</c:v>
                </c:pt>
              </c:strCache>
            </c:strRef>
          </c:tx>
          <c:cat>
            <c:strRef>
              <c:f>Sheet1!$G$239:$AA$239</c:f>
              <c:strCache>
                <c:ptCount val="21"/>
                <c:pt idx="0">
                  <c:v>bcsstk10</c:v>
                </c:pt>
                <c:pt idx="1">
                  <c:v>bcsstk13</c:v>
                </c:pt>
                <c:pt idx="2">
                  <c:v>bcsstk17</c:v>
                </c:pt>
                <c:pt idx="3">
                  <c:v>c8_mat11</c:v>
                </c:pt>
                <c:pt idx="4">
                  <c:v>cq9</c:v>
                </c:pt>
                <c:pt idx="5">
                  <c:v>fv1</c:v>
                </c:pt>
                <c:pt idx="6">
                  <c:v>kl02</c:v>
                </c:pt>
                <c:pt idx="7">
                  <c:v>lhr34c</c:v>
                </c:pt>
                <c:pt idx="8">
                  <c:v>pdb1HYS</c:v>
                </c:pt>
                <c:pt idx="9">
                  <c:v>psmigr_1</c:v>
                </c:pt>
                <c:pt idx="10">
                  <c:v>wiki-Vote</c:v>
                </c:pt>
                <c:pt idx="11">
                  <c:v>ca-HepTh</c:v>
                </c:pt>
                <c:pt idx="12">
                  <c:v>p2p-Gnutella04</c:v>
                </c:pt>
                <c:pt idx="13">
                  <c:v>as-735</c:v>
                </c:pt>
                <c:pt idx="14">
                  <c:v>amazon0312</c:v>
                </c:pt>
                <c:pt idx="15">
                  <c:v>Chem97ZtZ</c:v>
                </c:pt>
                <c:pt idx="16">
                  <c:v>airfoil1</c:v>
                </c:pt>
                <c:pt idx="17">
                  <c:v>diag</c:v>
                </c:pt>
                <c:pt idx="18">
                  <c:v>crack</c:v>
                </c:pt>
                <c:pt idx="19">
                  <c:v>shock-9</c:v>
                </c:pt>
                <c:pt idx="20">
                  <c:v>big_dual</c:v>
                </c:pt>
              </c:strCache>
            </c:strRef>
          </c:cat>
          <c:val>
            <c:numRef>
              <c:f>Sheet1!$G$292:$AA$292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0.13636363636363599</c:v>
                </c:pt>
                <c:pt idx="4">
                  <c:v>0.123040380047505</c:v>
                </c:pt>
                <c:pt idx="5">
                  <c:v>0</c:v>
                </c:pt>
                <c:pt idx="6">
                  <c:v>-8.3014048531289894E-3</c:v>
                </c:pt>
                <c:pt idx="7">
                  <c:v>1.5731292517006799E-2</c:v>
                </c:pt>
                <c:pt idx="8">
                  <c:v>0.193041526374859</c:v>
                </c:pt>
                <c:pt idx="9">
                  <c:v>0</c:v>
                </c:pt>
                <c:pt idx="10">
                  <c:v>1.36452241715399E-2</c:v>
                </c:pt>
                <c:pt idx="11">
                  <c:v>2.6771653543307E-2</c:v>
                </c:pt>
                <c:pt idx="12">
                  <c:v>0.134860050890585</c:v>
                </c:pt>
                <c:pt idx="13">
                  <c:v>2.0491803278688499E-2</c:v>
                </c:pt>
                <c:pt idx="14">
                  <c:v>-7.2447407041798702E-3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7.38060781476121E-2</c:v>
                </c:pt>
                <c:pt idx="19">
                  <c:v>-1.5789473684210499E-2</c:v>
                </c:pt>
                <c:pt idx="20">
                  <c:v>-2.3255813953488299E-2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1EF-4F50-8330-7B7B906CBAB7}"/>
            </c:ext>
          </c:extLst>
        </c:ser>
        <c:ser>
          <c:idx val="0"/>
          <c:order val="4"/>
          <c:tx>
            <c:strRef>
              <c:f>Sheet1!$F$287</c:f>
              <c:strCache>
                <c:ptCount val="1"/>
                <c:pt idx="0">
                  <c:v>Avg.256</c:v>
                </c:pt>
              </c:strCache>
            </c:strRef>
          </c:tx>
          <c:cat>
            <c:strRef>
              <c:f>Sheet1!$G$239:$AA$239</c:f>
              <c:strCache>
                <c:ptCount val="21"/>
                <c:pt idx="0">
                  <c:v>bcsstk10</c:v>
                </c:pt>
                <c:pt idx="1">
                  <c:v>bcsstk13</c:v>
                </c:pt>
                <c:pt idx="2">
                  <c:v>bcsstk17</c:v>
                </c:pt>
                <c:pt idx="3">
                  <c:v>c8_mat11</c:v>
                </c:pt>
                <c:pt idx="4">
                  <c:v>cq9</c:v>
                </c:pt>
                <c:pt idx="5">
                  <c:v>fv1</c:v>
                </c:pt>
                <c:pt idx="6">
                  <c:v>kl02</c:v>
                </c:pt>
                <c:pt idx="7">
                  <c:v>lhr34c</c:v>
                </c:pt>
                <c:pt idx="8">
                  <c:v>pdb1HYS</c:v>
                </c:pt>
                <c:pt idx="9">
                  <c:v>psmigr_1</c:v>
                </c:pt>
                <c:pt idx="10">
                  <c:v>wiki-Vote</c:v>
                </c:pt>
                <c:pt idx="11">
                  <c:v>ca-HepTh</c:v>
                </c:pt>
                <c:pt idx="12">
                  <c:v>p2p-Gnutella04</c:v>
                </c:pt>
                <c:pt idx="13">
                  <c:v>as-735</c:v>
                </c:pt>
                <c:pt idx="14">
                  <c:v>amazon0312</c:v>
                </c:pt>
                <c:pt idx="15">
                  <c:v>Chem97ZtZ</c:v>
                </c:pt>
                <c:pt idx="16">
                  <c:v>airfoil1</c:v>
                </c:pt>
                <c:pt idx="17">
                  <c:v>diag</c:v>
                </c:pt>
                <c:pt idx="18">
                  <c:v>crack</c:v>
                </c:pt>
                <c:pt idx="19">
                  <c:v>shock-9</c:v>
                </c:pt>
                <c:pt idx="20">
                  <c:v>big_dual</c:v>
                </c:pt>
              </c:strCache>
            </c:strRef>
          </c:cat>
          <c:val>
            <c:numRef>
              <c:f>Sheet1!$G$287:$AA$287</c:f>
              <c:numCache>
                <c:formatCode>General</c:formatCode>
                <c:ptCount val="21"/>
                <c:pt idx="0">
                  <c:v>4.1958374999380266E-2</c:v>
                </c:pt>
                <c:pt idx="1">
                  <c:v>4.1958374999380266E-2</c:v>
                </c:pt>
                <c:pt idx="2">
                  <c:v>4.1958374999380266E-2</c:v>
                </c:pt>
                <c:pt idx="3">
                  <c:v>4.1958374999380266E-2</c:v>
                </c:pt>
                <c:pt idx="4">
                  <c:v>4.1958374999380266E-2</c:v>
                </c:pt>
                <c:pt idx="5">
                  <c:v>4.1958374999380266E-2</c:v>
                </c:pt>
                <c:pt idx="6">
                  <c:v>4.1958374999380266E-2</c:v>
                </c:pt>
                <c:pt idx="7">
                  <c:v>4.1958374999380266E-2</c:v>
                </c:pt>
                <c:pt idx="8">
                  <c:v>4.1958374999380266E-2</c:v>
                </c:pt>
                <c:pt idx="9">
                  <c:v>4.1958374999380266E-2</c:v>
                </c:pt>
                <c:pt idx="10">
                  <c:v>4.1958374999380266E-2</c:v>
                </c:pt>
                <c:pt idx="11">
                  <c:v>4.1958374999380266E-2</c:v>
                </c:pt>
                <c:pt idx="12">
                  <c:v>4.1958374999380266E-2</c:v>
                </c:pt>
                <c:pt idx="13">
                  <c:v>4.1958374999380266E-2</c:v>
                </c:pt>
                <c:pt idx="14">
                  <c:v>4.1958374999380266E-2</c:v>
                </c:pt>
                <c:pt idx="15">
                  <c:v>4.1958374999380266E-2</c:v>
                </c:pt>
                <c:pt idx="16">
                  <c:v>4.1958374999380266E-2</c:v>
                </c:pt>
                <c:pt idx="17">
                  <c:v>4.1958374999380266E-2</c:v>
                </c:pt>
                <c:pt idx="18">
                  <c:v>4.1958374999380266E-2</c:v>
                </c:pt>
                <c:pt idx="19">
                  <c:v>4.1958374999380266E-2</c:v>
                </c:pt>
                <c:pt idx="20">
                  <c:v>4.1958374999380266E-2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1EF-4F50-8330-7B7B906CBAB7}"/>
            </c:ext>
          </c:extLst>
        </c:ser>
        <c:ser>
          <c:idx val="1"/>
          <c:order val="5"/>
          <c:tx>
            <c:strRef>
              <c:f>Sheet1!$F$289</c:f>
              <c:strCache>
                <c:ptCount val="1"/>
                <c:pt idx="0">
                  <c:v>Avg.512</c:v>
                </c:pt>
              </c:strCache>
            </c:strRef>
          </c:tx>
          <c:cat>
            <c:strRef>
              <c:f>Sheet1!$G$239:$AA$239</c:f>
              <c:strCache>
                <c:ptCount val="21"/>
                <c:pt idx="0">
                  <c:v>bcsstk10</c:v>
                </c:pt>
                <c:pt idx="1">
                  <c:v>bcsstk13</c:v>
                </c:pt>
                <c:pt idx="2">
                  <c:v>bcsstk17</c:v>
                </c:pt>
                <c:pt idx="3">
                  <c:v>c8_mat11</c:v>
                </c:pt>
                <c:pt idx="4">
                  <c:v>cq9</c:v>
                </c:pt>
                <c:pt idx="5">
                  <c:v>fv1</c:v>
                </c:pt>
                <c:pt idx="6">
                  <c:v>kl02</c:v>
                </c:pt>
                <c:pt idx="7">
                  <c:v>lhr34c</c:v>
                </c:pt>
                <c:pt idx="8">
                  <c:v>pdb1HYS</c:v>
                </c:pt>
                <c:pt idx="9">
                  <c:v>psmigr_1</c:v>
                </c:pt>
                <c:pt idx="10">
                  <c:v>wiki-Vote</c:v>
                </c:pt>
                <c:pt idx="11">
                  <c:v>ca-HepTh</c:v>
                </c:pt>
                <c:pt idx="12">
                  <c:v>p2p-Gnutella04</c:v>
                </c:pt>
                <c:pt idx="13">
                  <c:v>as-735</c:v>
                </c:pt>
                <c:pt idx="14">
                  <c:v>amazon0312</c:v>
                </c:pt>
                <c:pt idx="15">
                  <c:v>Chem97ZtZ</c:v>
                </c:pt>
                <c:pt idx="16">
                  <c:v>airfoil1</c:v>
                </c:pt>
                <c:pt idx="17">
                  <c:v>diag</c:v>
                </c:pt>
                <c:pt idx="18">
                  <c:v>crack</c:v>
                </c:pt>
                <c:pt idx="19">
                  <c:v>shock-9</c:v>
                </c:pt>
                <c:pt idx="20">
                  <c:v>big_dual</c:v>
                </c:pt>
              </c:strCache>
            </c:strRef>
          </c:cat>
          <c:val>
            <c:numRef>
              <c:f>Sheet1!$G$289:$AA$289</c:f>
              <c:numCache>
                <c:formatCode>General</c:formatCode>
                <c:ptCount val="21"/>
                <c:pt idx="0">
                  <c:v>3.4447069482012135E-2</c:v>
                </c:pt>
                <c:pt idx="1">
                  <c:v>3.4447069482012135E-2</c:v>
                </c:pt>
                <c:pt idx="2">
                  <c:v>3.4447069482012135E-2</c:v>
                </c:pt>
                <c:pt idx="3">
                  <c:v>3.4447069482012135E-2</c:v>
                </c:pt>
                <c:pt idx="4">
                  <c:v>3.4447069482012135E-2</c:v>
                </c:pt>
                <c:pt idx="5">
                  <c:v>3.4447069482012135E-2</c:v>
                </c:pt>
                <c:pt idx="6">
                  <c:v>3.4447069482012135E-2</c:v>
                </c:pt>
                <c:pt idx="7">
                  <c:v>3.4447069482012135E-2</c:v>
                </c:pt>
                <c:pt idx="8">
                  <c:v>3.4447069482012135E-2</c:v>
                </c:pt>
                <c:pt idx="9">
                  <c:v>3.4447069482012135E-2</c:v>
                </c:pt>
                <c:pt idx="10">
                  <c:v>3.4447069482012135E-2</c:v>
                </c:pt>
                <c:pt idx="11">
                  <c:v>3.4447069482012135E-2</c:v>
                </c:pt>
                <c:pt idx="12">
                  <c:v>3.4447069482012135E-2</c:v>
                </c:pt>
                <c:pt idx="13">
                  <c:v>3.4447069482012135E-2</c:v>
                </c:pt>
                <c:pt idx="14">
                  <c:v>3.4447069482012135E-2</c:v>
                </c:pt>
                <c:pt idx="15">
                  <c:v>3.4447069482012135E-2</c:v>
                </c:pt>
                <c:pt idx="16">
                  <c:v>3.4447069482012135E-2</c:v>
                </c:pt>
                <c:pt idx="17">
                  <c:v>3.4447069482012135E-2</c:v>
                </c:pt>
                <c:pt idx="18">
                  <c:v>3.4447069482012135E-2</c:v>
                </c:pt>
                <c:pt idx="19">
                  <c:v>3.4447069482012135E-2</c:v>
                </c:pt>
                <c:pt idx="20">
                  <c:v>3.4447069482012135E-2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1EF-4F50-8330-7B7B906CBAB7}"/>
            </c:ext>
          </c:extLst>
        </c:ser>
        <c:ser>
          <c:idx val="2"/>
          <c:order val="6"/>
          <c:tx>
            <c:strRef>
              <c:f>Sheet1!$F$291</c:f>
              <c:strCache>
                <c:ptCount val="1"/>
                <c:pt idx="0">
                  <c:v>Avg.1024</c:v>
                </c:pt>
              </c:strCache>
            </c:strRef>
          </c:tx>
          <c:cat>
            <c:strRef>
              <c:f>Sheet1!$G$239:$AA$239</c:f>
              <c:strCache>
                <c:ptCount val="21"/>
                <c:pt idx="0">
                  <c:v>bcsstk10</c:v>
                </c:pt>
                <c:pt idx="1">
                  <c:v>bcsstk13</c:v>
                </c:pt>
                <c:pt idx="2">
                  <c:v>bcsstk17</c:v>
                </c:pt>
                <c:pt idx="3">
                  <c:v>c8_mat11</c:v>
                </c:pt>
                <c:pt idx="4">
                  <c:v>cq9</c:v>
                </c:pt>
                <c:pt idx="5">
                  <c:v>fv1</c:v>
                </c:pt>
                <c:pt idx="6">
                  <c:v>kl02</c:v>
                </c:pt>
                <c:pt idx="7">
                  <c:v>lhr34c</c:v>
                </c:pt>
                <c:pt idx="8">
                  <c:v>pdb1HYS</c:v>
                </c:pt>
                <c:pt idx="9">
                  <c:v>psmigr_1</c:v>
                </c:pt>
                <c:pt idx="10">
                  <c:v>wiki-Vote</c:v>
                </c:pt>
                <c:pt idx="11">
                  <c:v>ca-HepTh</c:v>
                </c:pt>
                <c:pt idx="12">
                  <c:v>p2p-Gnutella04</c:v>
                </c:pt>
                <c:pt idx="13">
                  <c:v>as-735</c:v>
                </c:pt>
                <c:pt idx="14">
                  <c:v>amazon0312</c:v>
                </c:pt>
                <c:pt idx="15">
                  <c:v>Chem97ZtZ</c:v>
                </c:pt>
                <c:pt idx="16">
                  <c:v>airfoil1</c:v>
                </c:pt>
                <c:pt idx="17">
                  <c:v>diag</c:v>
                </c:pt>
                <c:pt idx="18">
                  <c:v>crack</c:v>
                </c:pt>
                <c:pt idx="19">
                  <c:v>shock-9</c:v>
                </c:pt>
                <c:pt idx="20">
                  <c:v>big_dual</c:v>
                </c:pt>
              </c:strCache>
            </c:strRef>
          </c:cat>
          <c:val>
            <c:numRef>
              <c:f>Sheet1!$G$291:$AA$291</c:f>
              <c:numCache>
                <c:formatCode>General</c:formatCode>
                <c:ptCount val="21"/>
                <c:pt idx="0">
                  <c:v>3.323291922809031E-2</c:v>
                </c:pt>
                <c:pt idx="1">
                  <c:v>3.323291922809031E-2</c:v>
                </c:pt>
                <c:pt idx="2">
                  <c:v>3.323291922809031E-2</c:v>
                </c:pt>
                <c:pt idx="3">
                  <c:v>3.323291922809031E-2</c:v>
                </c:pt>
                <c:pt idx="4">
                  <c:v>3.323291922809031E-2</c:v>
                </c:pt>
                <c:pt idx="5">
                  <c:v>3.323291922809031E-2</c:v>
                </c:pt>
                <c:pt idx="6">
                  <c:v>3.323291922809031E-2</c:v>
                </c:pt>
                <c:pt idx="7">
                  <c:v>3.323291922809031E-2</c:v>
                </c:pt>
                <c:pt idx="8">
                  <c:v>3.323291922809031E-2</c:v>
                </c:pt>
                <c:pt idx="9">
                  <c:v>3.323291922809031E-2</c:v>
                </c:pt>
                <c:pt idx="10">
                  <c:v>3.323291922809031E-2</c:v>
                </c:pt>
                <c:pt idx="11">
                  <c:v>3.323291922809031E-2</c:v>
                </c:pt>
                <c:pt idx="12">
                  <c:v>3.323291922809031E-2</c:v>
                </c:pt>
                <c:pt idx="13">
                  <c:v>3.323291922809031E-2</c:v>
                </c:pt>
                <c:pt idx="14">
                  <c:v>3.323291922809031E-2</c:v>
                </c:pt>
                <c:pt idx="15">
                  <c:v>3.323291922809031E-2</c:v>
                </c:pt>
                <c:pt idx="16">
                  <c:v>3.323291922809031E-2</c:v>
                </c:pt>
                <c:pt idx="17">
                  <c:v>3.323291922809031E-2</c:v>
                </c:pt>
                <c:pt idx="18">
                  <c:v>3.323291922809031E-2</c:v>
                </c:pt>
                <c:pt idx="19">
                  <c:v>3.323291922809031E-2</c:v>
                </c:pt>
                <c:pt idx="20">
                  <c:v>3.323291922809031E-2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11EF-4F50-8330-7B7B906CBAB7}"/>
            </c:ext>
          </c:extLst>
        </c:ser>
        <c:ser>
          <c:idx val="3"/>
          <c:order val="7"/>
          <c:tx>
            <c:strRef>
              <c:f>Sheet1!$F$293</c:f>
              <c:strCache>
                <c:ptCount val="1"/>
                <c:pt idx="0">
                  <c:v>Avg.2048</c:v>
                </c:pt>
              </c:strCache>
            </c:strRef>
          </c:tx>
          <c:cat>
            <c:strRef>
              <c:f>Sheet1!$G$239:$AA$239</c:f>
              <c:strCache>
                <c:ptCount val="21"/>
                <c:pt idx="0">
                  <c:v>bcsstk10</c:v>
                </c:pt>
                <c:pt idx="1">
                  <c:v>bcsstk13</c:v>
                </c:pt>
                <c:pt idx="2">
                  <c:v>bcsstk17</c:v>
                </c:pt>
                <c:pt idx="3">
                  <c:v>c8_mat11</c:v>
                </c:pt>
                <c:pt idx="4">
                  <c:v>cq9</c:v>
                </c:pt>
                <c:pt idx="5">
                  <c:v>fv1</c:v>
                </c:pt>
                <c:pt idx="6">
                  <c:v>kl02</c:v>
                </c:pt>
                <c:pt idx="7">
                  <c:v>lhr34c</c:v>
                </c:pt>
                <c:pt idx="8">
                  <c:v>pdb1HYS</c:v>
                </c:pt>
                <c:pt idx="9">
                  <c:v>psmigr_1</c:v>
                </c:pt>
                <c:pt idx="10">
                  <c:v>wiki-Vote</c:v>
                </c:pt>
                <c:pt idx="11">
                  <c:v>ca-HepTh</c:v>
                </c:pt>
                <c:pt idx="12">
                  <c:v>p2p-Gnutella04</c:v>
                </c:pt>
                <c:pt idx="13">
                  <c:v>as-735</c:v>
                </c:pt>
                <c:pt idx="14">
                  <c:v>amazon0312</c:v>
                </c:pt>
                <c:pt idx="15">
                  <c:v>Chem97ZtZ</c:v>
                </c:pt>
                <c:pt idx="16">
                  <c:v>airfoil1</c:v>
                </c:pt>
                <c:pt idx="17">
                  <c:v>diag</c:v>
                </c:pt>
                <c:pt idx="18">
                  <c:v>crack</c:v>
                </c:pt>
                <c:pt idx="19">
                  <c:v>shock-9</c:v>
                </c:pt>
                <c:pt idx="20">
                  <c:v>big_dual</c:v>
                </c:pt>
              </c:strCache>
            </c:strRef>
          </c:cat>
          <c:val>
            <c:numRef>
              <c:f>Sheet1!$G$293:$AA$293</c:f>
              <c:numCache>
                <c:formatCode>General</c:formatCode>
                <c:ptCount val="21"/>
                <c:pt idx="0">
                  <c:v>3.2531438673320548E-2</c:v>
                </c:pt>
                <c:pt idx="1">
                  <c:v>3.2531438673320548E-2</c:v>
                </c:pt>
                <c:pt idx="2">
                  <c:v>3.2531438673320548E-2</c:v>
                </c:pt>
                <c:pt idx="3">
                  <c:v>3.2531438673320548E-2</c:v>
                </c:pt>
                <c:pt idx="4">
                  <c:v>3.2531438673320548E-2</c:v>
                </c:pt>
                <c:pt idx="5">
                  <c:v>3.2531438673320548E-2</c:v>
                </c:pt>
                <c:pt idx="6">
                  <c:v>3.2531438673320548E-2</c:v>
                </c:pt>
                <c:pt idx="7">
                  <c:v>3.2531438673320548E-2</c:v>
                </c:pt>
                <c:pt idx="8">
                  <c:v>3.2531438673320548E-2</c:v>
                </c:pt>
                <c:pt idx="9">
                  <c:v>3.2531438673320548E-2</c:v>
                </c:pt>
                <c:pt idx="10">
                  <c:v>3.2531438673320548E-2</c:v>
                </c:pt>
                <c:pt idx="11">
                  <c:v>3.2531438673320548E-2</c:v>
                </c:pt>
                <c:pt idx="12">
                  <c:v>3.2531438673320548E-2</c:v>
                </c:pt>
                <c:pt idx="13">
                  <c:v>3.2531438673320548E-2</c:v>
                </c:pt>
                <c:pt idx="14">
                  <c:v>3.2531438673320548E-2</c:v>
                </c:pt>
                <c:pt idx="15">
                  <c:v>3.2531438673320548E-2</c:v>
                </c:pt>
                <c:pt idx="16">
                  <c:v>3.2531438673320548E-2</c:v>
                </c:pt>
                <c:pt idx="17">
                  <c:v>3.2531438673320548E-2</c:v>
                </c:pt>
                <c:pt idx="18">
                  <c:v>3.2531438673320548E-2</c:v>
                </c:pt>
                <c:pt idx="19">
                  <c:v>3.2531438673320548E-2</c:v>
                </c:pt>
                <c:pt idx="20">
                  <c:v>3.2531438673320548E-2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11EF-4F50-8330-7B7B906CBA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5729599"/>
        <c:axId val="1177765871"/>
      </c:lineChart>
      <c:catAx>
        <c:axId val="725729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Matrix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7765871"/>
        <c:crossesAt val="-1"/>
        <c:auto val="1"/>
        <c:lblAlgn val="ctr"/>
        <c:lblOffset val="100"/>
        <c:noMultiLvlLbl val="0"/>
      </c:catAx>
      <c:valAx>
        <c:axId val="1177765871"/>
        <c:scaling>
          <c:orientation val="minMax"/>
          <c:max val="0.5"/>
          <c:min val="-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Memory</a:t>
                </a:r>
                <a:r>
                  <a:rPr lang="en-US" baseline="0"/>
                  <a:t> Access Reduction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5729599"/>
        <c:crosses val="autoZero"/>
        <c:crossBetween val="between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Page</a:t>
            </a:r>
            <a:r>
              <a:rPr lang="en-US" baseline="0"/>
              <a:t> Size = 512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6"/>
          <c:order val="0"/>
          <c:tx>
            <c:strRef>
              <c:f>Sheet1!$D$302</c:f>
              <c:strCache>
                <c:ptCount val="1"/>
                <c:pt idx="0">
                  <c:v>512</c:v>
                </c:pt>
              </c:strCache>
            </c:strRef>
          </c:tx>
          <c:cat>
            <c:strRef>
              <c:f>Sheet1!$G$239:$AA$239</c:f>
              <c:strCache>
                <c:ptCount val="21"/>
                <c:pt idx="0">
                  <c:v>bcsstk10</c:v>
                </c:pt>
                <c:pt idx="1">
                  <c:v>bcsstk13</c:v>
                </c:pt>
                <c:pt idx="2">
                  <c:v>bcsstk17</c:v>
                </c:pt>
                <c:pt idx="3">
                  <c:v>c8_mat11</c:v>
                </c:pt>
                <c:pt idx="4">
                  <c:v>cq9</c:v>
                </c:pt>
                <c:pt idx="5">
                  <c:v>fv1</c:v>
                </c:pt>
                <c:pt idx="6">
                  <c:v>kl02</c:v>
                </c:pt>
                <c:pt idx="7">
                  <c:v>lhr34c</c:v>
                </c:pt>
                <c:pt idx="8">
                  <c:v>pdb1HYS</c:v>
                </c:pt>
                <c:pt idx="9">
                  <c:v>psmigr_1</c:v>
                </c:pt>
                <c:pt idx="10">
                  <c:v>wiki-Vote</c:v>
                </c:pt>
                <c:pt idx="11">
                  <c:v>ca-HepTh</c:v>
                </c:pt>
                <c:pt idx="12">
                  <c:v>p2p-Gnutella04</c:v>
                </c:pt>
                <c:pt idx="13">
                  <c:v>as-735</c:v>
                </c:pt>
                <c:pt idx="14">
                  <c:v>amazon0312</c:v>
                </c:pt>
                <c:pt idx="15">
                  <c:v>Chem97ZtZ</c:v>
                </c:pt>
                <c:pt idx="16">
                  <c:v>airfoil1</c:v>
                </c:pt>
                <c:pt idx="17">
                  <c:v>diag</c:v>
                </c:pt>
                <c:pt idx="18">
                  <c:v>crack</c:v>
                </c:pt>
                <c:pt idx="19">
                  <c:v>shock-9</c:v>
                </c:pt>
                <c:pt idx="20">
                  <c:v>big_dual</c:v>
                </c:pt>
              </c:strCache>
            </c:strRef>
          </c:cat>
          <c:val>
            <c:numRef>
              <c:f>Sheet1!$G$302:$AA$302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0.112722478576137</c:v>
                </c:pt>
                <c:pt idx="5">
                  <c:v>0</c:v>
                </c:pt>
                <c:pt idx="6">
                  <c:v>0.28137887279264001</c:v>
                </c:pt>
                <c:pt idx="7">
                  <c:v>2.6583961010190501E-2</c:v>
                </c:pt>
                <c:pt idx="8">
                  <c:v>0.17827795641300401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4.3923865300146397E-3</c:v>
                </c:pt>
                <c:pt idx="13">
                  <c:v>0</c:v>
                </c:pt>
                <c:pt idx="14">
                  <c:v>7.7869170297659596E-3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6.3025210084033598E-3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E7-4EA3-8814-C1181F1FFE30}"/>
            </c:ext>
          </c:extLst>
        </c:ser>
        <c:ser>
          <c:idx val="10"/>
          <c:order val="1"/>
          <c:tx>
            <c:strRef>
              <c:f>Sheet1!$D$304</c:f>
              <c:strCache>
                <c:ptCount val="1"/>
                <c:pt idx="0">
                  <c:v>1024</c:v>
                </c:pt>
              </c:strCache>
            </c:strRef>
          </c:tx>
          <c:cat>
            <c:strRef>
              <c:f>Sheet1!$G$239:$AA$239</c:f>
              <c:strCache>
                <c:ptCount val="21"/>
                <c:pt idx="0">
                  <c:v>bcsstk10</c:v>
                </c:pt>
                <c:pt idx="1">
                  <c:v>bcsstk13</c:v>
                </c:pt>
                <c:pt idx="2">
                  <c:v>bcsstk17</c:v>
                </c:pt>
                <c:pt idx="3">
                  <c:v>c8_mat11</c:v>
                </c:pt>
                <c:pt idx="4">
                  <c:v>cq9</c:v>
                </c:pt>
                <c:pt idx="5">
                  <c:v>fv1</c:v>
                </c:pt>
                <c:pt idx="6">
                  <c:v>kl02</c:v>
                </c:pt>
                <c:pt idx="7">
                  <c:v>lhr34c</c:v>
                </c:pt>
                <c:pt idx="8">
                  <c:v>pdb1HYS</c:v>
                </c:pt>
                <c:pt idx="9">
                  <c:v>psmigr_1</c:v>
                </c:pt>
                <c:pt idx="10">
                  <c:v>wiki-Vote</c:v>
                </c:pt>
                <c:pt idx="11">
                  <c:v>ca-HepTh</c:v>
                </c:pt>
                <c:pt idx="12">
                  <c:v>p2p-Gnutella04</c:v>
                </c:pt>
                <c:pt idx="13">
                  <c:v>as-735</c:v>
                </c:pt>
                <c:pt idx="14">
                  <c:v>amazon0312</c:v>
                </c:pt>
                <c:pt idx="15">
                  <c:v>Chem97ZtZ</c:v>
                </c:pt>
                <c:pt idx="16">
                  <c:v>airfoil1</c:v>
                </c:pt>
                <c:pt idx="17">
                  <c:v>diag</c:v>
                </c:pt>
                <c:pt idx="18">
                  <c:v>crack</c:v>
                </c:pt>
                <c:pt idx="19">
                  <c:v>shock-9</c:v>
                </c:pt>
                <c:pt idx="20">
                  <c:v>big_dual</c:v>
                </c:pt>
              </c:strCache>
            </c:strRef>
          </c:cat>
          <c:val>
            <c:numRef>
              <c:f>Sheet1!$G$304:$AA$304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0.112722478576137</c:v>
                </c:pt>
                <c:pt idx="5">
                  <c:v>0</c:v>
                </c:pt>
                <c:pt idx="6">
                  <c:v>0.34175742835994499</c:v>
                </c:pt>
                <c:pt idx="7">
                  <c:v>2.6140894993354001E-2</c:v>
                </c:pt>
                <c:pt idx="8">
                  <c:v>0.16827438370846701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4.3923865300146397E-3</c:v>
                </c:pt>
                <c:pt idx="13">
                  <c:v>0</c:v>
                </c:pt>
                <c:pt idx="14">
                  <c:v>-9.3340128420822694E-3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-2.6315789473684201E-3</c:v>
                </c:pt>
                <c:pt idx="20">
                  <c:v>6.3025210084033598E-3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DE7-4EA3-8814-C1181F1FFE30}"/>
            </c:ext>
          </c:extLst>
        </c:ser>
        <c:ser>
          <c:idx val="11"/>
          <c:order val="2"/>
          <c:tx>
            <c:strRef>
              <c:f>Sheet1!$D$306</c:f>
              <c:strCache>
                <c:ptCount val="1"/>
                <c:pt idx="0">
                  <c:v>2048</c:v>
                </c:pt>
              </c:strCache>
            </c:strRef>
          </c:tx>
          <c:cat>
            <c:strRef>
              <c:f>Sheet1!$G$239:$AA$239</c:f>
              <c:strCache>
                <c:ptCount val="21"/>
                <c:pt idx="0">
                  <c:v>bcsstk10</c:v>
                </c:pt>
                <c:pt idx="1">
                  <c:v>bcsstk13</c:v>
                </c:pt>
                <c:pt idx="2">
                  <c:v>bcsstk17</c:v>
                </c:pt>
                <c:pt idx="3">
                  <c:v>c8_mat11</c:v>
                </c:pt>
                <c:pt idx="4">
                  <c:v>cq9</c:v>
                </c:pt>
                <c:pt idx="5">
                  <c:v>fv1</c:v>
                </c:pt>
                <c:pt idx="6">
                  <c:v>kl02</c:v>
                </c:pt>
                <c:pt idx="7">
                  <c:v>lhr34c</c:v>
                </c:pt>
                <c:pt idx="8">
                  <c:v>pdb1HYS</c:v>
                </c:pt>
                <c:pt idx="9">
                  <c:v>psmigr_1</c:v>
                </c:pt>
                <c:pt idx="10">
                  <c:v>wiki-Vote</c:v>
                </c:pt>
                <c:pt idx="11">
                  <c:v>ca-HepTh</c:v>
                </c:pt>
                <c:pt idx="12">
                  <c:v>p2p-Gnutella04</c:v>
                </c:pt>
                <c:pt idx="13">
                  <c:v>as-735</c:v>
                </c:pt>
                <c:pt idx="14">
                  <c:v>amazon0312</c:v>
                </c:pt>
                <c:pt idx="15">
                  <c:v>Chem97ZtZ</c:v>
                </c:pt>
                <c:pt idx="16">
                  <c:v>airfoil1</c:v>
                </c:pt>
                <c:pt idx="17">
                  <c:v>diag</c:v>
                </c:pt>
                <c:pt idx="18">
                  <c:v>crack</c:v>
                </c:pt>
                <c:pt idx="19">
                  <c:v>shock-9</c:v>
                </c:pt>
                <c:pt idx="20">
                  <c:v>big_dual</c:v>
                </c:pt>
              </c:strCache>
            </c:strRef>
          </c:cat>
          <c:val>
            <c:numRef>
              <c:f>Sheet1!$G$306:$AA$306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0.112722478576137</c:v>
                </c:pt>
                <c:pt idx="5">
                  <c:v>0</c:v>
                </c:pt>
                <c:pt idx="6">
                  <c:v>0.33573014698107201</c:v>
                </c:pt>
                <c:pt idx="7">
                  <c:v>2.6583961010190501E-2</c:v>
                </c:pt>
                <c:pt idx="8">
                  <c:v>0.17399071096820201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4.3923865300146397E-3</c:v>
                </c:pt>
                <c:pt idx="13">
                  <c:v>0</c:v>
                </c:pt>
                <c:pt idx="14">
                  <c:v>-1.85635670410823E-2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-1.7543859649122801E-3</c:v>
                </c:pt>
                <c:pt idx="20">
                  <c:v>6.3025210084033598E-3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DE7-4EA3-8814-C1181F1FFE30}"/>
            </c:ext>
          </c:extLst>
        </c:ser>
        <c:ser>
          <c:idx val="0"/>
          <c:order val="3"/>
          <c:tx>
            <c:strRef>
              <c:f>Sheet1!$F$303</c:f>
              <c:strCache>
                <c:ptCount val="1"/>
                <c:pt idx="0">
                  <c:v>Avg.512</c:v>
                </c:pt>
              </c:strCache>
            </c:strRef>
          </c:tx>
          <c:cat>
            <c:strRef>
              <c:f>Sheet1!$G$239:$AA$239</c:f>
              <c:strCache>
                <c:ptCount val="21"/>
                <c:pt idx="0">
                  <c:v>bcsstk10</c:v>
                </c:pt>
                <c:pt idx="1">
                  <c:v>bcsstk13</c:v>
                </c:pt>
                <c:pt idx="2">
                  <c:v>bcsstk17</c:v>
                </c:pt>
                <c:pt idx="3">
                  <c:v>c8_mat11</c:v>
                </c:pt>
                <c:pt idx="4">
                  <c:v>cq9</c:v>
                </c:pt>
                <c:pt idx="5">
                  <c:v>fv1</c:v>
                </c:pt>
                <c:pt idx="6">
                  <c:v>kl02</c:v>
                </c:pt>
                <c:pt idx="7">
                  <c:v>lhr34c</c:v>
                </c:pt>
                <c:pt idx="8">
                  <c:v>pdb1HYS</c:v>
                </c:pt>
                <c:pt idx="9">
                  <c:v>psmigr_1</c:v>
                </c:pt>
                <c:pt idx="10">
                  <c:v>wiki-Vote</c:v>
                </c:pt>
                <c:pt idx="11">
                  <c:v>ca-HepTh</c:v>
                </c:pt>
                <c:pt idx="12">
                  <c:v>p2p-Gnutella04</c:v>
                </c:pt>
                <c:pt idx="13">
                  <c:v>as-735</c:v>
                </c:pt>
                <c:pt idx="14">
                  <c:v>amazon0312</c:v>
                </c:pt>
                <c:pt idx="15">
                  <c:v>Chem97ZtZ</c:v>
                </c:pt>
                <c:pt idx="16">
                  <c:v>airfoil1</c:v>
                </c:pt>
                <c:pt idx="17">
                  <c:v>diag</c:v>
                </c:pt>
                <c:pt idx="18">
                  <c:v>crack</c:v>
                </c:pt>
                <c:pt idx="19">
                  <c:v>shock-9</c:v>
                </c:pt>
                <c:pt idx="20">
                  <c:v>big_dual</c:v>
                </c:pt>
              </c:strCache>
            </c:strRef>
          </c:cat>
          <c:val>
            <c:numRef>
              <c:f>Sheet1!$G$303:$AA$303</c:f>
              <c:numCache>
                <c:formatCode>General</c:formatCode>
                <c:ptCount val="21"/>
                <c:pt idx="0">
                  <c:v>2.9402147302864542E-2</c:v>
                </c:pt>
                <c:pt idx="1">
                  <c:v>2.9402147302864542E-2</c:v>
                </c:pt>
                <c:pt idx="2">
                  <c:v>2.9402147302864542E-2</c:v>
                </c:pt>
                <c:pt idx="3">
                  <c:v>2.9402147302864542E-2</c:v>
                </c:pt>
                <c:pt idx="4">
                  <c:v>2.9402147302864542E-2</c:v>
                </c:pt>
                <c:pt idx="5">
                  <c:v>2.9402147302864542E-2</c:v>
                </c:pt>
                <c:pt idx="6">
                  <c:v>2.9402147302864542E-2</c:v>
                </c:pt>
                <c:pt idx="7">
                  <c:v>2.9402147302864542E-2</c:v>
                </c:pt>
                <c:pt idx="8">
                  <c:v>2.9402147302864542E-2</c:v>
                </c:pt>
                <c:pt idx="9">
                  <c:v>2.9402147302864542E-2</c:v>
                </c:pt>
                <c:pt idx="10">
                  <c:v>2.9402147302864542E-2</c:v>
                </c:pt>
                <c:pt idx="11">
                  <c:v>2.9402147302864542E-2</c:v>
                </c:pt>
                <c:pt idx="12">
                  <c:v>2.9402147302864542E-2</c:v>
                </c:pt>
                <c:pt idx="13">
                  <c:v>2.9402147302864542E-2</c:v>
                </c:pt>
                <c:pt idx="14">
                  <c:v>2.9402147302864542E-2</c:v>
                </c:pt>
                <c:pt idx="15">
                  <c:v>2.9402147302864542E-2</c:v>
                </c:pt>
                <c:pt idx="16">
                  <c:v>2.9402147302864542E-2</c:v>
                </c:pt>
                <c:pt idx="17">
                  <c:v>2.9402147302864542E-2</c:v>
                </c:pt>
                <c:pt idx="18">
                  <c:v>2.9402147302864542E-2</c:v>
                </c:pt>
                <c:pt idx="19">
                  <c:v>2.9402147302864542E-2</c:v>
                </c:pt>
                <c:pt idx="20">
                  <c:v>2.9402147302864542E-2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DE7-4EA3-8814-C1181F1FFE30}"/>
            </c:ext>
          </c:extLst>
        </c:ser>
        <c:ser>
          <c:idx val="1"/>
          <c:order val="4"/>
          <c:tx>
            <c:strRef>
              <c:f>Sheet1!$F$305</c:f>
              <c:strCache>
                <c:ptCount val="1"/>
                <c:pt idx="0">
                  <c:v>Avg.1024</c:v>
                </c:pt>
              </c:strCache>
            </c:strRef>
          </c:tx>
          <c:cat>
            <c:strRef>
              <c:f>Sheet1!$G$239:$AA$239</c:f>
              <c:strCache>
                <c:ptCount val="21"/>
                <c:pt idx="0">
                  <c:v>bcsstk10</c:v>
                </c:pt>
                <c:pt idx="1">
                  <c:v>bcsstk13</c:v>
                </c:pt>
                <c:pt idx="2">
                  <c:v>bcsstk17</c:v>
                </c:pt>
                <c:pt idx="3">
                  <c:v>c8_mat11</c:v>
                </c:pt>
                <c:pt idx="4">
                  <c:v>cq9</c:v>
                </c:pt>
                <c:pt idx="5">
                  <c:v>fv1</c:v>
                </c:pt>
                <c:pt idx="6">
                  <c:v>kl02</c:v>
                </c:pt>
                <c:pt idx="7">
                  <c:v>lhr34c</c:v>
                </c:pt>
                <c:pt idx="8">
                  <c:v>pdb1HYS</c:v>
                </c:pt>
                <c:pt idx="9">
                  <c:v>psmigr_1</c:v>
                </c:pt>
                <c:pt idx="10">
                  <c:v>wiki-Vote</c:v>
                </c:pt>
                <c:pt idx="11">
                  <c:v>ca-HepTh</c:v>
                </c:pt>
                <c:pt idx="12">
                  <c:v>p2p-Gnutella04</c:v>
                </c:pt>
                <c:pt idx="13">
                  <c:v>as-735</c:v>
                </c:pt>
                <c:pt idx="14">
                  <c:v>amazon0312</c:v>
                </c:pt>
                <c:pt idx="15">
                  <c:v>Chem97ZtZ</c:v>
                </c:pt>
                <c:pt idx="16">
                  <c:v>airfoil1</c:v>
                </c:pt>
                <c:pt idx="17">
                  <c:v>diag</c:v>
                </c:pt>
                <c:pt idx="18">
                  <c:v>crack</c:v>
                </c:pt>
                <c:pt idx="19">
                  <c:v>shock-9</c:v>
                </c:pt>
                <c:pt idx="20">
                  <c:v>big_dual</c:v>
                </c:pt>
              </c:strCache>
            </c:strRef>
          </c:cat>
          <c:val>
            <c:numRef>
              <c:f>Sheet1!$G$305:$AA$305</c:f>
              <c:numCache>
                <c:formatCode>General</c:formatCode>
                <c:ptCount val="21"/>
                <c:pt idx="0">
                  <c:v>3.0839261970803344E-2</c:v>
                </c:pt>
                <c:pt idx="1">
                  <c:v>3.0839261970803344E-2</c:v>
                </c:pt>
                <c:pt idx="2">
                  <c:v>3.0839261970803344E-2</c:v>
                </c:pt>
                <c:pt idx="3">
                  <c:v>3.0839261970803344E-2</c:v>
                </c:pt>
                <c:pt idx="4">
                  <c:v>3.0839261970803344E-2</c:v>
                </c:pt>
                <c:pt idx="5">
                  <c:v>3.0839261970803344E-2</c:v>
                </c:pt>
                <c:pt idx="6">
                  <c:v>3.0839261970803344E-2</c:v>
                </c:pt>
                <c:pt idx="7">
                  <c:v>3.0839261970803344E-2</c:v>
                </c:pt>
                <c:pt idx="8">
                  <c:v>3.0839261970803344E-2</c:v>
                </c:pt>
                <c:pt idx="9">
                  <c:v>3.0839261970803344E-2</c:v>
                </c:pt>
                <c:pt idx="10">
                  <c:v>3.0839261970803344E-2</c:v>
                </c:pt>
                <c:pt idx="11">
                  <c:v>3.0839261970803344E-2</c:v>
                </c:pt>
                <c:pt idx="12">
                  <c:v>3.0839261970803344E-2</c:v>
                </c:pt>
                <c:pt idx="13">
                  <c:v>3.0839261970803344E-2</c:v>
                </c:pt>
                <c:pt idx="14">
                  <c:v>3.0839261970803344E-2</c:v>
                </c:pt>
                <c:pt idx="15">
                  <c:v>3.0839261970803344E-2</c:v>
                </c:pt>
                <c:pt idx="16">
                  <c:v>3.0839261970803344E-2</c:v>
                </c:pt>
                <c:pt idx="17">
                  <c:v>3.0839261970803344E-2</c:v>
                </c:pt>
                <c:pt idx="18">
                  <c:v>3.0839261970803344E-2</c:v>
                </c:pt>
                <c:pt idx="19">
                  <c:v>3.0839261970803344E-2</c:v>
                </c:pt>
                <c:pt idx="20">
                  <c:v>3.0839261970803344E-2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DE7-4EA3-8814-C1181F1FFE30}"/>
            </c:ext>
          </c:extLst>
        </c:ser>
        <c:ser>
          <c:idx val="2"/>
          <c:order val="5"/>
          <c:tx>
            <c:strRef>
              <c:f>Sheet1!$F$307</c:f>
              <c:strCache>
                <c:ptCount val="1"/>
                <c:pt idx="0">
                  <c:v>Avg.2048</c:v>
                </c:pt>
              </c:strCache>
            </c:strRef>
          </c:tx>
          <c:cat>
            <c:strRef>
              <c:f>Sheet1!$G$239:$AA$239</c:f>
              <c:strCache>
                <c:ptCount val="21"/>
                <c:pt idx="0">
                  <c:v>bcsstk10</c:v>
                </c:pt>
                <c:pt idx="1">
                  <c:v>bcsstk13</c:v>
                </c:pt>
                <c:pt idx="2">
                  <c:v>bcsstk17</c:v>
                </c:pt>
                <c:pt idx="3">
                  <c:v>c8_mat11</c:v>
                </c:pt>
                <c:pt idx="4">
                  <c:v>cq9</c:v>
                </c:pt>
                <c:pt idx="5">
                  <c:v>fv1</c:v>
                </c:pt>
                <c:pt idx="6">
                  <c:v>kl02</c:v>
                </c:pt>
                <c:pt idx="7">
                  <c:v>lhr34c</c:v>
                </c:pt>
                <c:pt idx="8">
                  <c:v>pdb1HYS</c:v>
                </c:pt>
                <c:pt idx="9">
                  <c:v>psmigr_1</c:v>
                </c:pt>
                <c:pt idx="10">
                  <c:v>wiki-Vote</c:v>
                </c:pt>
                <c:pt idx="11">
                  <c:v>ca-HepTh</c:v>
                </c:pt>
                <c:pt idx="12">
                  <c:v>p2p-Gnutella04</c:v>
                </c:pt>
                <c:pt idx="13">
                  <c:v>as-735</c:v>
                </c:pt>
                <c:pt idx="14">
                  <c:v>amazon0312</c:v>
                </c:pt>
                <c:pt idx="15">
                  <c:v>Chem97ZtZ</c:v>
                </c:pt>
                <c:pt idx="16">
                  <c:v>airfoil1</c:v>
                </c:pt>
                <c:pt idx="17">
                  <c:v>diag</c:v>
                </c:pt>
                <c:pt idx="18">
                  <c:v>crack</c:v>
                </c:pt>
                <c:pt idx="19">
                  <c:v>shock-9</c:v>
                </c:pt>
                <c:pt idx="20">
                  <c:v>big_dual</c:v>
                </c:pt>
              </c:strCache>
            </c:strRef>
          </c:cat>
          <c:val>
            <c:numRef>
              <c:f>Sheet1!$G$307:$AA$307</c:f>
              <c:numCache>
                <c:formatCode>General</c:formatCode>
                <c:ptCount val="21"/>
                <c:pt idx="0">
                  <c:v>3.0447821527048804E-2</c:v>
                </c:pt>
                <c:pt idx="1">
                  <c:v>3.0447821527048804E-2</c:v>
                </c:pt>
                <c:pt idx="2">
                  <c:v>3.0447821527048804E-2</c:v>
                </c:pt>
                <c:pt idx="3">
                  <c:v>3.0447821527048804E-2</c:v>
                </c:pt>
                <c:pt idx="4">
                  <c:v>3.0447821527048804E-2</c:v>
                </c:pt>
                <c:pt idx="5">
                  <c:v>3.0447821527048804E-2</c:v>
                </c:pt>
                <c:pt idx="6">
                  <c:v>3.0447821527048804E-2</c:v>
                </c:pt>
                <c:pt idx="7">
                  <c:v>3.0447821527048804E-2</c:v>
                </c:pt>
                <c:pt idx="8">
                  <c:v>3.0447821527048804E-2</c:v>
                </c:pt>
                <c:pt idx="9">
                  <c:v>3.0447821527048804E-2</c:v>
                </c:pt>
                <c:pt idx="10">
                  <c:v>3.0447821527048804E-2</c:v>
                </c:pt>
                <c:pt idx="11">
                  <c:v>3.0447821527048804E-2</c:v>
                </c:pt>
                <c:pt idx="12">
                  <c:v>3.0447821527048804E-2</c:v>
                </c:pt>
                <c:pt idx="13">
                  <c:v>3.0447821527048804E-2</c:v>
                </c:pt>
                <c:pt idx="14">
                  <c:v>3.0447821527048804E-2</c:v>
                </c:pt>
                <c:pt idx="15">
                  <c:v>3.0447821527048804E-2</c:v>
                </c:pt>
                <c:pt idx="16">
                  <c:v>3.0447821527048804E-2</c:v>
                </c:pt>
                <c:pt idx="17">
                  <c:v>3.0447821527048804E-2</c:v>
                </c:pt>
                <c:pt idx="18">
                  <c:v>3.0447821527048804E-2</c:v>
                </c:pt>
                <c:pt idx="19">
                  <c:v>3.0447821527048804E-2</c:v>
                </c:pt>
                <c:pt idx="20">
                  <c:v>3.0447821527048804E-2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DE7-4EA3-8814-C1181F1FFE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5729599"/>
        <c:axId val="1177765871"/>
      </c:lineChart>
      <c:catAx>
        <c:axId val="725729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Matrix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7765871"/>
        <c:crossesAt val="-1"/>
        <c:auto val="1"/>
        <c:lblAlgn val="ctr"/>
        <c:lblOffset val="100"/>
        <c:noMultiLvlLbl val="0"/>
      </c:catAx>
      <c:valAx>
        <c:axId val="1177765871"/>
        <c:scaling>
          <c:orientation val="minMax"/>
          <c:max val="0.5"/>
          <c:min val="-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Memory</a:t>
                </a:r>
                <a:r>
                  <a:rPr lang="en-US" baseline="0"/>
                  <a:t> Access Reduction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5729599"/>
        <c:crosses val="autoZero"/>
        <c:crossBetween val="between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Access Reduction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Sheet1!$D$252</c:f>
              <c:strCache>
                <c:ptCount val="1"/>
                <c:pt idx="0">
                  <c:v>Total Average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(Sheet1!$C$240,Sheet1!$C$254,Sheet1!$C$268,Sheet1!$C$282,Sheet1!$C$296)</c:f>
              <c:numCache>
                <c:formatCode>General</c:formatCode>
                <c:ptCount val="5"/>
                <c:pt idx="0">
                  <c:v>32</c:v>
                </c:pt>
                <c:pt idx="1">
                  <c:v>64</c:v>
                </c:pt>
                <c:pt idx="2">
                  <c:v>128</c:v>
                </c:pt>
                <c:pt idx="3">
                  <c:v>256</c:v>
                </c:pt>
                <c:pt idx="4">
                  <c:v>512</c:v>
                </c:pt>
              </c:numCache>
            </c:numRef>
          </c:cat>
          <c:val>
            <c:numRef>
              <c:f>(Sheet1!$G$252,Sheet1!$G$266,Sheet1!$G$280,Sheet1!$G$294,Sheet1!$G$308)</c:f>
              <c:numCache>
                <c:formatCode>General</c:formatCode>
                <c:ptCount val="5"/>
                <c:pt idx="0">
                  <c:v>4.6439648814521013E-2</c:v>
                </c:pt>
                <c:pt idx="1">
                  <c:v>5.0047354784510528E-2</c:v>
                </c:pt>
                <c:pt idx="2">
                  <c:v>6.9908912944939561E-2</c:v>
                </c:pt>
                <c:pt idx="3">
                  <c:v>3.5542450595700811E-2</c:v>
                </c:pt>
                <c:pt idx="4">
                  <c:v>3.02297436002389E-2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92-430D-B071-B2B30FCE0200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179492591"/>
        <c:axId val="1179493071"/>
      </c:lineChart>
      <c:catAx>
        <c:axId val="117949259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Page Size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9493071"/>
        <c:crosses val="autoZero"/>
        <c:auto val="1"/>
        <c:lblAlgn val="ctr"/>
        <c:lblOffset val="100"/>
        <c:noMultiLvlLbl val="0"/>
      </c:catAx>
      <c:valAx>
        <c:axId val="1179493071"/>
        <c:scaling>
          <c:orientation val="minMax"/>
          <c:max val="0.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 Access Reduction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9492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2.xml"/><Relationship Id="rId3" Type="http://schemas.openxmlformats.org/officeDocument/2006/relationships/chart" Target="../charts/chart7.xml"/><Relationship Id="rId7" Type="http://schemas.openxmlformats.org/officeDocument/2006/relationships/chart" Target="../charts/chart11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6" Type="http://schemas.openxmlformats.org/officeDocument/2006/relationships/chart" Target="../charts/chart10.xml"/><Relationship Id="rId11" Type="http://schemas.openxmlformats.org/officeDocument/2006/relationships/chart" Target="../charts/chart15.xml"/><Relationship Id="rId5" Type="http://schemas.openxmlformats.org/officeDocument/2006/relationships/chart" Target="../charts/chart9.xml"/><Relationship Id="rId10" Type="http://schemas.openxmlformats.org/officeDocument/2006/relationships/chart" Target="../charts/chart14.xml"/><Relationship Id="rId4" Type="http://schemas.openxmlformats.org/officeDocument/2006/relationships/chart" Target="../charts/chart8.xml"/><Relationship Id="rId9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421106</xdr:colOff>
      <xdr:row>28</xdr:row>
      <xdr:rowOff>102267</xdr:rowOff>
    </xdr:from>
    <xdr:to>
      <xdr:col>17</xdr:col>
      <xdr:colOff>431132</xdr:colOff>
      <xdr:row>55</xdr:row>
      <xdr:rowOff>60157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F2F67CB-EB6F-135D-0E74-5B61ED59E2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91665</xdr:colOff>
      <xdr:row>28</xdr:row>
      <xdr:rowOff>83522</xdr:rowOff>
    </xdr:from>
    <xdr:to>
      <xdr:col>28</xdr:col>
      <xdr:colOff>673950</xdr:colOff>
      <xdr:row>55</xdr:row>
      <xdr:rowOff>41893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C887A11-13BA-F866-9330-CE73B887DF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172333</xdr:colOff>
      <xdr:row>90</xdr:row>
      <xdr:rowOff>141745</xdr:rowOff>
    </xdr:from>
    <xdr:to>
      <xdr:col>17</xdr:col>
      <xdr:colOff>176696</xdr:colOff>
      <xdr:row>117</xdr:row>
      <xdr:rowOff>91661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A738A5D-35F8-D4A5-8B5F-E99D0FCFD3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125624</xdr:colOff>
      <xdr:row>90</xdr:row>
      <xdr:rowOff>153923</xdr:rowOff>
    </xdr:from>
    <xdr:to>
      <xdr:col>28</xdr:col>
      <xdr:colOff>644031</xdr:colOff>
      <xdr:row>117</xdr:row>
      <xdr:rowOff>104487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D0E03B0-AF43-6D49-820A-B8F5E1B0E0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201386</xdr:colOff>
      <xdr:row>29</xdr:row>
      <xdr:rowOff>139880</xdr:rowOff>
    </xdr:from>
    <xdr:to>
      <xdr:col>24</xdr:col>
      <xdr:colOff>88348</xdr:colOff>
      <xdr:row>63</xdr:row>
      <xdr:rowOff>99391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736FF9B-3318-8ED0-6DC5-C591BB6FC8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559904</xdr:colOff>
      <xdr:row>29</xdr:row>
      <xdr:rowOff>45002</xdr:rowOff>
    </xdr:from>
    <xdr:to>
      <xdr:col>39</xdr:col>
      <xdr:colOff>219212</xdr:colOff>
      <xdr:row>50</xdr:row>
      <xdr:rowOff>183211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CBF9E7A-D1ED-9DB0-0083-60C6E05A57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40</xdr:col>
      <xdr:colOff>227653</xdr:colOff>
      <xdr:row>29</xdr:row>
      <xdr:rowOff>54271</xdr:rowOff>
    </xdr:from>
    <xdr:to>
      <xdr:col>58</xdr:col>
      <xdr:colOff>132522</xdr:colOff>
      <xdr:row>62</xdr:row>
      <xdr:rowOff>176696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0927775-A7F2-C7F4-9C67-1EF1AE323C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533399</xdr:colOff>
      <xdr:row>113</xdr:row>
      <xdr:rowOff>10884</xdr:rowOff>
    </xdr:from>
    <xdr:to>
      <xdr:col>29</xdr:col>
      <xdr:colOff>65314</xdr:colOff>
      <xdr:row>149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E3F834D-3268-A9B6-651E-4964FE4257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585304</xdr:colOff>
      <xdr:row>189</xdr:row>
      <xdr:rowOff>163444</xdr:rowOff>
    </xdr:from>
    <xdr:to>
      <xdr:col>28</xdr:col>
      <xdr:colOff>519044</xdr:colOff>
      <xdr:row>228</xdr:row>
      <xdr:rowOff>77304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997C99B-E145-8CC1-EE04-BA70780EEE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27</xdr:col>
      <xdr:colOff>574262</xdr:colOff>
      <xdr:row>237</xdr:row>
      <xdr:rowOff>53008</xdr:rowOff>
    </xdr:from>
    <xdr:to>
      <xdr:col>36</xdr:col>
      <xdr:colOff>552174</xdr:colOff>
      <xdr:row>271</xdr:row>
      <xdr:rowOff>11043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38AC17B-CB83-94A5-E90A-D44798BB33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38</xdr:col>
      <xdr:colOff>546484</xdr:colOff>
      <xdr:row>237</xdr:row>
      <xdr:rowOff>46182</xdr:rowOff>
    </xdr:from>
    <xdr:to>
      <xdr:col>47</xdr:col>
      <xdr:colOff>524395</xdr:colOff>
      <xdr:row>271</xdr:row>
      <xdr:rowOff>4217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71576B8B-C09F-4C5B-BB7F-27723CFE41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28</xdr:col>
      <xdr:colOff>0</xdr:colOff>
      <xdr:row>277</xdr:row>
      <xdr:rowOff>0</xdr:rowOff>
    </xdr:from>
    <xdr:to>
      <xdr:col>37</xdr:col>
      <xdr:colOff>251011</xdr:colOff>
      <xdr:row>318</xdr:row>
      <xdr:rowOff>107576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1CFB8D88-5A04-4D35-BC46-6ED29D2F63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39</xdr:col>
      <xdr:colOff>15876</xdr:colOff>
      <xdr:row>277</xdr:row>
      <xdr:rowOff>23813</xdr:rowOff>
    </xdr:from>
    <xdr:to>
      <xdr:col>48</xdr:col>
      <xdr:colOff>257908</xdr:colOff>
      <xdr:row>318</xdr:row>
      <xdr:rowOff>46893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4D726853-D4B7-4A15-8EE1-5073A100479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50</xdr:col>
      <xdr:colOff>214312</xdr:colOff>
      <xdr:row>255</xdr:row>
      <xdr:rowOff>23812</xdr:rowOff>
    </xdr:from>
    <xdr:to>
      <xdr:col>59</xdr:col>
      <xdr:colOff>178370</xdr:colOff>
      <xdr:row>289</xdr:row>
      <xdr:rowOff>140405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4F19DDBD-1B78-4637-9827-6F2DDFB809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50</xdr:col>
      <xdr:colOff>154329</xdr:colOff>
      <xdr:row>292</xdr:row>
      <xdr:rowOff>51121</xdr:rowOff>
    </xdr:from>
    <xdr:to>
      <xdr:col>61</xdr:col>
      <xdr:colOff>443696</xdr:colOff>
      <xdr:row>319</xdr:row>
      <xdr:rowOff>125393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FB7473BB-C0E9-A5EB-2394-816183FCFA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A741D-E008-41A9-A852-AD41D9D31615}">
  <dimension ref="B2:AN87"/>
  <sheetViews>
    <sheetView zoomScale="48" zoomScaleNormal="91" workbookViewId="0">
      <selection activeCell="B2" sqref="B2:AN26"/>
    </sheetView>
  </sheetViews>
  <sheetFormatPr defaultRowHeight="14.4" x14ac:dyDescent="0.3"/>
  <cols>
    <col min="2" max="2" width="22.6640625" customWidth="1"/>
    <col min="3" max="3" width="8.88671875" customWidth="1"/>
    <col min="4" max="4" width="11.88671875" customWidth="1"/>
    <col min="5" max="5" width="8.88671875" customWidth="1"/>
    <col min="6" max="6" width="11.88671875" customWidth="1"/>
    <col min="7" max="7" width="8.88671875" customWidth="1"/>
    <col min="8" max="8" width="12.5546875" customWidth="1"/>
    <col min="9" max="9" width="9.21875" bestFit="1" customWidth="1"/>
    <col min="10" max="10" width="12.88671875" customWidth="1"/>
    <col min="11" max="11" width="8.88671875" customWidth="1"/>
    <col min="12" max="12" width="12.33203125" customWidth="1"/>
    <col min="13" max="14" width="9.109375" bestFit="1" customWidth="1"/>
    <col min="15" max="15" width="11" customWidth="1"/>
    <col min="16" max="16" width="11.77734375" customWidth="1"/>
    <col min="17" max="17" width="12.44140625" customWidth="1"/>
    <col min="18" max="18" width="13.109375" customWidth="1"/>
    <col min="19" max="19" width="12.6640625" customWidth="1"/>
    <col min="20" max="20" width="13.5546875" customWidth="1"/>
    <col min="21" max="21" width="9.109375" bestFit="1" customWidth="1"/>
    <col min="22" max="22" width="12.5546875" customWidth="1"/>
    <col min="23" max="23" width="9.109375" bestFit="1" customWidth="1"/>
    <col min="24" max="32" width="13" customWidth="1"/>
    <col min="33" max="33" width="12.5546875" bestFit="1" customWidth="1"/>
    <col min="34" max="34" width="12.5546875" customWidth="1"/>
    <col min="35" max="35" width="10.21875" bestFit="1" customWidth="1"/>
    <col min="36" max="36" width="12.109375" customWidth="1"/>
    <col min="37" max="37" width="13.109375" customWidth="1"/>
    <col min="38" max="38" width="13.21875" customWidth="1"/>
    <col min="39" max="39" width="13.33203125" customWidth="1"/>
    <col min="40" max="40" width="12.88671875" customWidth="1"/>
  </cols>
  <sheetData>
    <row r="2" spans="2:40" x14ac:dyDescent="0.3">
      <c r="B2" s="5" t="s">
        <v>53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</row>
    <row r="3" spans="2:40" x14ac:dyDescent="0.3">
      <c r="B3" t="s">
        <v>27</v>
      </c>
      <c r="C3" s="4" t="s">
        <v>28</v>
      </c>
      <c r="D3" s="4"/>
      <c r="E3" s="4" t="s">
        <v>29</v>
      </c>
      <c r="F3" s="4"/>
      <c r="G3" s="4" t="s">
        <v>28</v>
      </c>
      <c r="H3" s="4"/>
      <c r="I3" s="4" t="s">
        <v>30</v>
      </c>
      <c r="J3" s="4"/>
      <c r="K3" s="4" t="s">
        <v>31</v>
      </c>
      <c r="L3" s="4"/>
      <c r="M3" s="4" t="s">
        <v>32</v>
      </c>
      <c r="N3" s="4"/>
      <c r="O3" s="4" t="s">
        <v>31</v>
      </c>
      <c r="P3" s="4"/>
      <c r="Q3" s="4" t="s">
        <v>33</v>
      </c>
      <c r="R3" s="4"/>
      <c r="S3" s="4" t="s">
        <v>34</v>
      </c>
      <c r="T3" s="4"/>
      <c r="U3" s="4" t="s">
        <v>35</v>
      </c>
      <c r="V3" s="4"/>
      <c r="W3" s="4" t="s">
        <v>36</v>
      </c>
      <c r="X3" s="4"/>
      <c r="Y3" s="4" t="s">
        <v>36</v>
      </c>
      <c r="Z3" s="4"/>
      <c r="AA3" s="4" t="s">
        <v>42</v>
      </c>
      <c r="AB3" s="4"/>
      <c r="AC3" s="4" t="s">
        <v>43</v>
      </c>
      <c r="AD3" s="4"/>
      <c r="AE3" s="4" t="s">
        <v>36</v>
      </c>
      <c r="AF3" s="4"/>
      <c r="AG3" s="4" t="s">
        <v>45</v>
      </c>
      <c r="AH3" s="4"/>
      <c r="AI3" s="4" t="s">
        <v>45</v>
      </c>
      <c r="AJ3" s="4"/>
      <c r="AK3" s="4" t="s">
        <v>45</v>
      </c>
      <c r="AL3" s="4"/>
      <c r="AM3" s="4" t="s">
        <v>45</v>
      </c>
      <c r="AN3" s="4"/>
    </row>
    <row r="4" spans="2:40" x14ac:dyDescent="0.3">
      <c r="B4" t="s">
        <v>26</v>
      </c>
      <c r="C4" s="4" t="s">
        <v>14</v>
      </c>
      <c r="D4" s="4"/>
      <c r="E4" s="4" t="s">
        <v>15</v>
      </c>
      <c r="F4" s="4"/>
      <c r="G4" s="4" t="s">
        <v>16</v>
      </c>
      <c r="H4" s="4"/>
      <c r="I4" s="4" t="s">
        <v>17</v>
      </c>
      <c r="J4" s="4"/>
      <c r="K4" s="4" t="s">
        <v>18</v>
      </c>
      <c r="L4" s="4"/>
      <c r="M4" s="4" t="s">
        <v>19</v>
      </c>
      <c r="N4" s="4"/>
      <c r="O4" s="4" t="s">
        <v>20</v>
      </c>
      <c r="P4" s="4"/>
      <c r="Q4" s="4" t="s">
        <v>21</v>
      </c>
      <c r="R4" s="4"/>
      <c r="S4" s="4" t="s">
        <v>23</v>
      </c>
      <c r="T4" s="4"/>
      <c r="U4" s="4" t="s">
        <v>24</v>
      </c>
      <c r="V4" s="4"/>
      <c r="W4" s="4" t="s">
        <v>37</v>
      </c>
      <c r="X4" s="4"/>
      <c r="Y4" s="4" t="s">
        <v>41</v>
      </c>
      <c r="Z4" s="4"/>
      <c r="AA4" s="4" t="s">
        <v>40</v>
      </c>
      <c r="AB4" s="4"/>
      <c r="AC4" s="4" t="s">
        <v>39</v>
      </c>
      <c r="AD4" s="4"/>
      <c r="AE4" s="4" t="s">
        <v>38</v>
      </c>
      <c r="AF4" s="4"/>
      <c r="AG4" s="4" t="s">
        <v>46</v>
      </c>
      <c r="AH4" s="4"/>
      <c r="AI4" s="4" t="s">
        <v>47</v>
      </c>
      <c r="AJ4" s="4"/>
      <c r="AK4" s="4" t="s">
        <v>48</v>
      </c>
      <c r="AL4" s="4"/>
      <c r="AM4" s="4" t="s">
        <v>49</v>
      </c>
      <c r="AN4" s="4"/>
    </row>
    <row r="5" spans="2:40" x14ac:dyDescent="0.3">
      <c r="B5" t="s">
        <v>25</v>
      </c>
      <c r="C5" t="s">
        <v>1</v>
      </c>
      <c r="D5" t="s">
        <v>13</v>
      </c>
      <c r="E5" t="s">
        <v>1</v>
      </c>
      <c r="F5" t="s">
        <v>13</v>
      </c>
      <c r="G5" t="s">
        <v>1</v>
      </c>
      <c r="H5" t="s">
        <v>13</v>
      </c>
      <c r="I5" t="s">
        <v>1</v>
      </c>
      <c r="J5" t="s">
        <v>13</v>
      </c>
      <c r="K5" t="s">
        <v>1</v>
      </c>
      <c r="L5" t="s">
        <v>13</v>
      </c>
      <c r="M5" t="s">
        <v>1</v>
      </c>
      <c r="N5" t="s">
        <v>13</v>
      </c>
      <c r="O5" t="s">
        <v>1</v>
      </c>
      <c r="P5" t="s">
        <v>13</v>
      </c>
      <c r="Q5" t="s">
        <v>1</v>
      </c>
      <c r="R5" t="s">
        <v>13</v>
      </c>
      <c r="S5" t="s">
        <v>1</v>
      </c>
      <c r="T5" t="s">
        <v>13</v>
      </c>
      <c r="U5" t="s">
        <v>1</v>
      </c>
      <c r="V5" t="s">
        <v>13</v>
      </c>
      <c r="W5" t="s">
        <v>1</v>
      </c>
      <c r="X5" t="s">
        <v>13</v>
      </c>
      <c r="Y5" t="s">
        <v>1</v>
      </c>
      <c r="Z5" t="s">
        <v>13</v>
      </c>
      <c r="AA5" t="s">
        <v>1</v>
      </c>
      <c r="AB5" t="s">
        <v>13</v>
      </c>
      <c r="AC5" t="s">
        <v>1</v>
      </c>
      <c r="AD5" t="s">
        <v>13</v>
      </c>
      <c r="AE5" t="s">
        <v>1</v>
      </c>
      <c r="AF5" t="s">
        <v>13</v>
      </c>
      <c r="AG5" t="s">
        <v>22</v>
      </c>
      <c r="AH5" t="s">
        <v>13</v>
      </c>
      <c r="AI5" t="s">
        <v>22</v>
      </c>
      <c r="AJ5" t="s">
        <v>13</v>
      </c>
      <c r="AK5" t="s">
        <v>22</v>
      </c>
      <c r="AL5" t="s">
        <v>13</v>
      </c>
      <c r="AM5" t="s">
        <v>22</v>
      </c>
      <c r="AN5" t="s">
        <v>13</v>
      </c>
    </row>
    <row r="6" spans="2:40" x14ac:dyDescent="0.3">
      <c r="B6" t="s">
        <v>4</v>
      </c>
      <c r="C6">
        <v>68</v>
      </c>
      <c r="D6">
        <v>68</v>
      </c>
      <c r="E6">
        <v>139</v>
      </c>
      <c r="F6">
        <v>126</v>
      </c>
      <c r="G6">
        <v>686</v>
      </c>
      <c r="H6">
        <v>723</v>
      </c>
      <c r="I6">
        <v>166638</v>
      </c>
      <c r="J6">
        <v>133883</v>
      </c>
      <c r="K6">
        <v>37699</v>
      </c>
      <c r="L6">
        <v>33241</v>
      </c>
      <c r="M6">
        <v>601</v>
      </c>
      <c r="N6">
        <v>601</v>
      </c>
      <c r="O6">
        <v>36901</v>
      </c>
      <c r="P6">
        <v>36667</v>
      </c>
      <c r="Q6">
        <v>2692</v>
      </c>
      <c r="R6">
        <v>2697</v>
      </c>
      <c r="S6">
        <v>6148</v>
      </c>
      <c r="T6">
        <v>6728</v>
      </c>
      <c r="U6">
        <v>85493</v>
      </c>
      <c r="V6">
        <v>74276</v>
      </c>
      <c r="W6">
        <v>42427</v>
      </c>
      <c r="X6">
        <v>43112</v>
      </c>
      <c r="Y6">
        <v>19484</v>
      </c>
      <c r="Z6">
        <v>20039</v>
      </c>
      <c r="AA6">
        <v>38582</v>
      </c>
      <c r="AB6">
        <v>38871</v>
      </c>
      <c r="AC6">
        <v>8035</v>
      </c>
      <c r="AD6">
        <v>8708</v>
      </c>
      <c r="AE6">
        <v>1520529</v>
      </c>
      <c r="AF6">
        <v>1528418</v>
      </c>
      <c r="AG6">
        <v>125</v>
      </c>
      <c r="AH6">
        <v>125</v>
      </c>
      <c r="AI6">
        <v>564000</v>
      </c>
      <c r="AJ6">
        <v>402647</v>
      </c>
      <c r="AK6">
        <v>1000000</v>
      </c>
      <c r="AL6">
        <v>886215</v>
      </c>
      <c r="AM6">
        <v>1565000</v>
      </c>
      <c r="AN6">
        <v>1405472</v>
      </c>
    </row>
    <row r="7" spans="2:40" x14ac:dyDescent="0.3">
      <c r="B7" t="s">
        <v>2</v>
      </c>
      <c r="C7">
        <v>22002</v>
      </c>
      <c r="D7">
        <v>22002</v>
      </c>
      <c r="E7">
        <v>83744</v>
      </c>
      <c r="F7">
        <v>83757</v>
      </c>
      <c r="G7">
        <v>427964</v>
      </c>
      <c r="H7">
        <v>427927</v>
      </c>
      <c r="I7">
        <v>2296332</v>
      </c>
      <c r="J7">
        <v>2329087</v>
      </c>
      <c r="K7">
        <v>58954</v>
      </c>
      <c r="L7">
        <v>63412</v>
      </c>
      <c r="M7">
        <v>84663</v>
      </c>
      <c r="N7">
        <v>84663</v>
      </c>
      <c r="O7">
        <v>175635</v>
      </c>
      <c r="P7">
        <v>175869</v>
      </c>
      <c r="Q7">
        <v>761322</v>
      </c>
      <c r="R7">
        <v>761317</v>
      </c>
      <c r="S7">
        <v>4338617</v>
      </c>
      <c r="T7">
        <v>4338037</v>
      </c>
      <c r="U7">
        <v>457667</v>
      </c>
      <c r="V7">
        <v>468884</v>
      </c>
      <c r="W7">
        <v>61262</v>
      </c>
      <c r="X7">
        <v>60577</v>
      </c>
      <c r="Y7">
        <v>20510</v>
      </c>
      <c r="Z7">
        <v>19955</v>
      </c>
      <c r="AA7">
        <v>13389</v>
      </c>
      <c r="AB7">
        <v>13100</v>
      </c>
      <c r="AC7">
        <v>18432</v>
      </c>
      <c r="AD7">
        <v>17759</v>
      </c>
      <c r="AE7">
        <v>1679911</v>
      </c>
      <c r="AF7">
        <v>1672022</v>
      </c>
      <c r="AG7">
        <v>3999875</v>
      </c>
      <c r="AH7">
        <v>3999875</v>
      </c>
      <c r="AI7">
        <v>8436000</v>
      </c>
      <c r="AJ7">
        <v>8597353</v>
      </c>
      <c r="AK7">
        <v>15000000</v>
      </c>
      <c r="AL7">
        <v>15113785</v>
      </c>
      <c r="AM7">
        <v>23435000</v>
      </c>
      <c r="AN7">
        <v>23594528</v>
      </c>
    </row>
    <row r="8" spans="2:40" x14ac:dyDescent="0.3">
      <c r="B8" t="s">
        <v>3</v>
      </c>
      <c r="C8">
        <f t="shared" ref="C8:AJ8" si="0">C6+C7</f>
        <v>22070</v>
      </c>
      <c r="D8">
        <f t="shared" si="0"/>
        <v>22070</v>
      </c>
      <c r="E8">
        <f t="shared" si="0"/>
        <v>83883</v>
      </c>
      <c r="F8">
        <f t="shared" si="0"/>
        <v>83883</v>
      </c>
      <c r="G8">
        <f t="shared" si="0"/>
        <v>428650</v>
      </c>
      <c r="H8">
        <f t="shared" si="0"/>
        <v>428650</v>
      </c>
      <c r="I8">
        <f t="shared" si="0"/>
        <v>2462970</v>
      </c>
      <c r="J8">
        <f t="shared" si="0"/>
        <v>2462970</v>
      </c>
      <c r="K8">
        <f t="shared" si="0"/>
        <v>96653</v>
      </c>
      <c r="L8">
        <f t="shared" si="0"/>
        <v>96653</v>
      </c>
      <c r="M8">
        <f t="shared" si="0"/>
        <v>85264</v>
      </c>
      <c r="N8">
        <f t="shared" si="0"/>
        <v>85264</v>
      </c>
      <c r="O8">
        <f t="shared" si="0"/>
        <v>212536</v>
      </c>
      <c r="P8">
        <f t="shared" si="0"/>
        <v>212536</v>
      </c>
      <c r="Q8">
        <f t="shared" si="0"/>
        <v>764014</v>
      </c>
      <c r="R8">
        <f t="shared" si="0"/>
        <v>764014</v>
      </c>
      <c r="S8">
        <f t="shared" si="0"/>
        <v>4344765</v>
      </c>
      <c r="T8">
        <f t="shared" si="0"/>
        <v>4344765</v>
      </c>
      <c r="U8">
        <f t="shared" si="0"/>
        <v>543160</v>
      </c>
      <c r="V8">
        <f t="shared" si="0"/>
        <v>543160</v>
      </c>
      <c r="W8">
        <f t="shared" si="0"/>
        <v>103689</v>
      </c>
      <c r="X8">
        <f t="shared" si="0"/>
        <v>103689</v>
      </c>
      <c r="Y8">
        <f t="shared" si="0"/>
        <v>39994</v>
      </c>
      <c r="Z8">
        <f t="shared" si="0"/>
        <v>39994</v>
      </c>
      <c r="AA8">
        <f t="shared" si="0"/>
        <v>51971</v>
      </c>
      <c r="AB8">
        <f t="shared" si="0"/>
        <v>51971</v>
      </c>
      <c r="AC8">
        <f t="shared" si="0"/>
        <v>26467</v>
      </c>
      <c r="AD8">
        <f t="shared" si="0"/>
        <v>26467</v>
      </c>
      <c r="AE8">
        <f t="shared" si="0"/>
        <v>3200440</v>
      </c>
      <c r="AF8">
        <f t="shared" si="0"/>
        <v>3200440</v>
      </c>
      <c r="AG8">
        <f t="shared" si="0"/>
        <v>4000000</v>
      </c>
      <c r="AH8">
        <f t="shared" si="0"/>
        <v>4000000</v>
      </c>
      <c r="AI8">
        <f t="shared" si="0"/>
        <v>9000000</v>
      </c>
      <c r="AJ8">
        <f t="shared" si="0"/>
        <v>9000000</v>
      </c>
      <c r="AK8">
        <f t="shared" ref="AK8:AL8" si="1">AK6+AK7</f>
        <v>16000000</v>
      </c>
      <c r="AL8">
        <f t="shared" si="1"/>
        <v>16000000</v>
      </c>
      <c r="AM8">
        <f t="shared" ref="AM8:AN8" si="2">AM6+AM7</f>
        <v>25000000</v>
      </c>
      <c r="AN8">
        <f t="shared" si="2"/>
        <v>25000000</v>
      </c>
    </row>
    <row r="9" spans="2:40" x14ac:dyDescent="0.3">
      <c r="B9" t="s">
        <v>10</v>
      </c>
      <c r="C9">
        <f t="shared" ref="C9:AJ9" si="3">IFERROR(C7/C8, 0)</f>
        <v>0.99691889442682369</v>
      </c>
      <c r="D9">
        <f t="shared" si="3"/>
        <v>0.99691889442682369</v>
      </c>
      <c r="E9">
        <f t="shared" si="3"/>
        <v>0.99834293003349905</v>
      </c>
      <c r="F9">
        <f t="shared" si="3"/>
        <v>0.99849790780015024</v>
      </c>
      <c r="G9">
        <f t="shared" si="3"/>
        <v>0.99839962673509852</v>
      </c>
      <c r="H9">
        <f t="shared" si="3"/>
        <v>0.99831330922664174</v>
      </c>
      <c r="I9">
        <f t="shared" si="3"/>
        <v>0.93234265947210071</v>
      </c>
      <c r="J9">
        <f t="shared" si="3"/>
        <v>0.94564164403139295</v>
      </c>
      <c r="K9">
        <f t="shared" si="3"/>
        <v>0.60995520056283814</v>
      </c>
      <c r="L9">
        <f t="shared" si="3"/>
        <v>0.65607896288785661</v>
      </c>
      <c r="M9">
        <f t="shared" si="3"/>
        <v>0.99295130418465005</v>
      </c>
      <c r="N9">
        <f t="shared" si="3"/>
        <v>0.99295130418465005</v>
      </c>
      <c r="O9">
        <f t="shared" si="3"/>
        <v>0.82637764896299926</v>
      </c>
      <c r="P9">
        <f t="shared" si="3"/>
        <v>0.82747863891293705</v>
      </c>
      <c r="Q9">
        <f t="shared" si="3"/>
        <v>0.99647650435724999</v>
      </c>
      <c r="R9">
        <f t="shared" si="3"/>
        <v>0.99646995997455545</v>
      </c>
      <c r="S9">
        <f t="shared" si="3"/>
        <v>0.99858496374372374</v>
      </c>
      <c r="T9">
        <f t="shared" si="3"/>
        <v>0.99845146975728261</v>
      </c>
      <c r="U9">
        <f t="shared" si="3"/>
        <v>0.84260070697400402</v>
      </c>
      <c r="V9">
        <f t="shared" si="3"/>
        <v>0.86325208041829293</v>
      </c>
      <c r="W9">
        <f t="shared" si="3"/>
        <v>0.59082448475730309</v>
      </c>
      <c r="X9">
        <f t="shared" si="3"/>
        <v>0.58421819093635774</v>
      </c>
      <c r="Y9">
        <f t="shared" si="3"/>
        <v>0.51282692403860575</v>
      </c>
      <c r="Z9">
        <f t="shared" si="3"/>
        <v>0.49894984247637147</v>
      </c>
      <c r="AA9">
        <f t="shared" ref="AA9:AF9" si="4">IFERROR(AA7/AA8, 0)</f>
        <v>0.25762444440168558</v>
      </c>
      <c r="AB9">
        <f t="shared" si="4"/>
        <v>0.25206365088222277</v>
      </c>
      <c r="AC9">
        <f t="shared" si="4"/>
        <v>0.69641440284127409</v>
      </c>
      <c r="AD9">
        <f t="shared" si="4"/>
        <v>0.67098651150489286</v>
      </c>
      <c r="AE9">
        <f t="shared" si="4"/>
        <v>0.52490001374810968</v>
      </c>
      <c r="AF9">
        <f t="shared" si="4"/>
        <v>0.52243504018197495</v>
      </c>
      <c r="AG9">
        <f t="shared" si="3"/>
        <v>0.99996874999999996</v>
      </c>
      <c r="AH9">
        <f t="shared" si="3"/>
        <v>0.99996874999999996</v>
      </c>
      <c r="AI9">
        <f t="shared" si="3"/>
        <v>0.93733333333333335</v>
      </c>
      <c r="AJ9">
        <f t="shared" si="3"/>
        <v>0.9552614444444445</v>
      </c>
      <c r="AK9">
        <f t="shared" ref="AK9:AL9" si="5">IFERROR(AK7/AK8, 0)</f>
        <v>0.9375</v>
      </c>
      <c r="AL9">
        <f t="shared" si="5"/>
        <v>0.9446115625</v>
      </c>
      <c r="AM9">
        <f t="shared" ref="AM9:AN9" si="6">IFERROR(AM7/AM8, 0)</f>
        <v>0.93740000000000001</v>
      </c>
      <c r="AN9">
        <f t="shared" si="6"/>
        <v>0.94378112000000003</v>
      </c>
    </row>
    <row r="10" spans="2:40" x14ac:dyDescent="0.3">
      <c r="B10" t="s">
        <v>11</v>
      </c>
      <c r="C10">
        <f t="shared" ref="C10:AJ10" si="7">IFERROR(C6/C8, 0)</f>
        <v>3.0811055731762575E-3</v>
      </c>
      <c r="D10">
        <f t="shared" si="7"/>
        <v>3.0811055731762575E-3</v>
      </c>
      <c r="E10">
        <f t="shared" si="7"/>
        <v>1.6570699665009597E-3</v>
      </c>
      <c r="F10">
        <f t="shared" si="7"/>
        <v>1.5020921998497908E-3</v>
      </c>
      <c r="G10">
        <f t="shared" si="7"/>
        <v>1.6003732649014348E-3</v>
      </c>
      <c r="H10">
        <f t="shared" si="7"/>
        <v>1.6866907733582178E-3</v>
      </c>
      <c r="I10">
        <f t="shared" si="7"/>
        <v>6.7657340527899248E-2</v>
      </c>
      <c r="J10">
        <f t="shared" si="7"/>
        <v>5.4358355968607004E-2</v>
      </c>
      <c r="K10">
        <f t="shared" si="7"/>
        <v>0.3900447994371618</v>
      </c>
      <c r="L10">
        <f t="shared" si="7"/>
        <v>0.34392103711214345</v>
      </c>
      <c r="M10">
        <f t="shared" si="7"/>
        <v>7.0486958153499722E-3</v>
      </c>
      <c r="N10">
        <f t="shared" si="7"/>
        <v>7.0486958153499722E-3</v>
      </c>
      <c r="O10">
        <f t="shared" si="7"/>
        <v>0.1736223510370008</v>
      </c>
      <c r="P10">
        <f t="shared" si="7"/>
        <v>0.1725213610870629</v>
      </c>
      <c r="Q10">
        <f t="shared" si="7"/>
        <v>3.5234956427500018E-3</v>
      </c>
      <c r="R10">
        <f t="shared" si="7"/>
        <v>3.53004002544456E-3</v>
      </c>
      <c r="S10">
        <f t="shared" si="7"/>
        <v>1.4150362562762313E-3</v>
      </c>
      <c r="T10">
        <f t="shared" si="7"/>
        <v>1.5485302427173853E-3</v>
      </c>
      <c r="U10">
        <f t="shared" si="7"/>
        <v>0.15739929302599603</v>
      </c>
      <c r="V10">
        <f t="shared" si="7"/>
        <v>0.13674791958170704</v>
      </c>
      <c r="W10">
        <f t="shared" si="7"/>
        <v>0.40917551524269691</v>
      </c>
      <c r="X10">
        <f t="shared" si="7"/>
        <v>0.41578180906364226</v>
      </c>
      <c r="Y10">
        <f t="shared" si="7"/>
        <v>0.4871730759613942</v>
      </c>
      <c r="Z10">
        <f t="shared" si="7"/>
        <v>0.50105015752362858</v>
      </c>
      <c r="AA10">
        <f t="shared" ref="AA10:AF10" si="8">IFERROR(AA6/AA8, 0)</f>
        <v>0.74237555559831447</v>
      </c>
      <c r="AB10">
        <f t="shared" si="8"/>
        <v>0.74793634911777718</v>
      </c>
      <c r="AC10">
        <f t="shared" si="8"/>
        <v>0.30358559715872596</v>
      </c>
      <c r="AD10">
        <f t="shared" si="8"/>
        <v>0.32901348849510709</v>
      </c>
      <c r="AE10">
        <f t="shared" si="8"/>
        <v>0.47509998625189037</v>
      </c>
      <c r="AF10">
        <f t="shared" si="8"/>
        <v>0.47756495981802505</v>
      </c>
      <c r="AG10">
        <f t="shared" si="7"/>
        <v>3.1250000000000001E-5</v>
      </c>
      <c r="AH10">
        <f t="shared" si="7"/>
        <v>3.1250000000000001E-5</v>
      </c>
      <c r="AI10">
        <f t="shared" si="7"/>
        <v>6.2666666666666662E-2</v>
      </c>
      <c r="AJ10">
        <f t="shared" si="7"/>
        <v>4.4738555555555552E-2</v>
      </c>
      <c r="AK10">
        <f t="shared" ref="AK10:AL10" si="9">IFERROR(AK6/AK8, 0)</f>
        <v>6.25E-2</v>
      </c>
      <c r="AL10">
        <f t="shared" si="9"/>
        <v>5.5388437499999998E-2</v>
      </c>
      <c r="AM10">
        <f t="shared" ref="AM10:AN10" si="10">IFERROR(AM6/AM8, 0)</f>
        <v>6.2600000000000003E-2</v>
      </c>
      <c r="AN10">
        <f t="shared" si="10"/>
        <v>5.6218879999999999E-2</v>
      </c>
    </row>
    <row r="11" spans="2:40" x14ac:dyDescent="0.3">
      <c r="B11" t="s">
        <v>12</v>
      </c>
      <c r="C11">
        <v>128</v>
      </c>
      <c r="D11">
        <v>128</v>
      </c>
      <c r="E11">
        <v>128</v>
      </c>
      <c r="F11">
        <v>128</v>
      </c>
      <c r="G11">
        <v>128</v>
      </c>
      <c r="H11">
        <v>128</v>
      </c>
      <c r="I11">
        <v>128</v>
      </c>
      <c r="J11">
        <v>128</v>
      </c>
      <c r="K11">
        <v>128</v>
      </c>
      <c r="L11">
        <v>128</v>
      </c>
      <c r="M11">
        <v>128</v>
      </c>
      <c r="N11">
        <v>128</v>
      </c>
      <c r="O11">
        <v>128</v>
      </c>
      <c r="P11">
        <v>128</v>
      </c>
      <c r="Q11">
        <v>128</v>
      </c>
      <c r="R11">
        <v>128</v>
      </c>
      <c r="S11">
        <v>128</v>
      </c>
      <c r="T11">
        <v>128</v>
      </c>
      <c r="U11">
        <v>128</v>
      </c>
      <c r="V11">
        <v>128</v>
      </c>
      <c r="W11">
        <v>128</v>
      </c>
      <c r="X11">
        <v>128</v>
      </c>
      <c r="Y11">
        <v>128</v>
      </c>
      <c r="Z11">
        <v>128</v>
      </c>
      <c r="AA11">
        <v>128</v>
      </c>
      <c r="AB11">
        <v>128</v>
      </c>
      <c r="AC11">
        <v>128</v>
      </c>
      <c r="AD11">
        <v>128</v>
      </c>
      <c r="AE11">
        <v>128</v>
      </c>
      <c r="AF11">
        <v>128</v>
      </c>
      <c r="AG11">
        <v>128</v>
      </c>
      <c r="AH11">
        <v>128</v>
      </c>
      <c r="AI11">
        <v>128</v>
      </c>
      <c r="AJ11">
        <v>128</v>
      </c>
      <c r="AK11">
        <v>128</v>
      </c>
      <c r="AL11">
        <v>128</v>
      </c>
      <c r="AM11">
        <v>128</v>
      </c>
      <c r="AN11">
        <v>128</v>
      </c>
    </row>
    <row r="12" spans="2:40" x14ac:dyDescent="0.3">
      <c r="B12" t="s">
        <v>9</v>
      </c>
      <c r="C12">
        <v>68</v>
      </c>
      <c r="D12">
        <v>68</v>
      </c>
      <c r="E12">
        <v>126</v>
      </c>
      <c r="F12">
        <v>126</v>
      </c>
      <c r="G12">
        <v>686</v>
      </c>
      <c r="H12">
        <v>686</v>
      </c>
      <c r="I12">
        <v>361</v>
      </c>
      <c r="J12">
        <v>361</v>
      </c>
      <c r="K12">
        <v>1346</v>
      </c>
      <c r="L12">
        <v>1346</v>
      </c>
      <c r="M12">
        <v>601</v>
      </c>
      <c r="N12">
        <v>601</v>
      </c>
      <c r="O12">
        <v>2294</v>
      </c>
      <c r="P12">
        <v>2294</v>
      </c>
      <c r="Q12">
        <v>2197</v>
      </c>
      <c r="R12">
        <v>2197</v>
      </c>
      <c r="S12">
        <v>2277</v>
      </c>
      <c r="T12">
        <v>2277</v>
      </c>
      <c r="U12">
        <v>197</v>
      </c>
      <c r="V12">
        <v>197</v>
      </c>
      <c r="W12">
        <v>506</v>
      </c>
      <c r="X12">
        <v>506</v>
      </c>
      <c r="Y12">
        <v>680</v>
      </c>
      <c r="Z12">
        <v>680</v>
      </c>
      <c r="AA12">
        <v>618</v>
      </c>
      <c r="AB12">
        <v>618</v>
      </c>
      <c r="AC12">
        <v>478</v>
      </c>
      <c r="AD12">
        <v>478</v>
      </c>
      <c r="AE12" t="s">
        <v>44</v>
      </c>
      <c r="AF12" t="s">
        <v>44</v>
      </c>
      <c r="AG12">
        <v>125</v>
      </c>
      <c r="AH12">
        <v>125</v>
      </c>
      <c r="AI12">
        <v>188</v>
      </c>
      <c r="AJ12">
        <v>188</v>
      </c>
      <c r="AK12">
        <v>250</v>
      </c>
      <c r="AL12">
        <v>250</v>
      </c>
      <c r="AM12">
        <v>313</v>
      </c>
      <c r="AN12">
        <v>313</v>
      </c>
    </row>
    <row r="13" spans="2:40" x14ac:dyDescent="0.3">
      <c r="B13" t="s">
        <v>8</v>
      </c>
      <c r="C13">
        <f t="shared" ref="C13:AJ13" si="11">IFERROR(C12/C6, 0)</f>
        <v>1</v>
      </c>
      <c r="D13">
        <f t="shared" si="11"/>
        <v>1</v>
      </c>
      <c r="E13">
        <f t="shared" si="11"/>
        <v>0.90647482014388492</v>
      </c>
      <c r="F13">
        <f t="shared" si="11"/>
        <v>1</v>
      </c>
      <c r="G13">
        <f t="shared" si="11"/>
        <v>1</v>
      </c>
      <c r="H13">
        <f t="shared" si="11"/>
        <v>0.94882434301521434</v>
      </c>
      <c r="I13">
        <f t="shared" si="11"/>
        <v>2.1663726160899674E-3</v>
      </c>
      <c r="J13">
        <f t="shared" si="11"/>
        <v>2.696384156315589E-3</v>
      </c>
      <c r="K13">
        <f t="shared" si="11"/>
        <v>3.5703864824000633E-2</v>
      </c>
      <c r="L13">
        <f t="shared" si="11"/>
        <v>4.0492163292319729E-2</v>
      </c>
      <c r="M13">
        <f t="shared" si="11"/>
        <v>1</v>
      </c>
      <c r="N13">
        <f t="shared" si="11"/>
        <v>1</v>
      </c>
      <c r="O13">
        <f t="shared" si="11"/>
        <v>6.2166336955638057E-2</v>
      </c>
      <c r="P13">
        <f t="shared" si="11"/>
        <v>6.2563067608476283E-2</v>
      </c>
      <c r="Q13">
        <f t="shared" si="11"/>
        <v>0.81612184249628528</v>
      </c>
      <c r="R13">
        <f t="shared" si="11"/>
        <v>0.8146088246199481</v>
      </c>
      <c r="S13">
        <f t="shared" si="11"/>
        <v>0.37036434612882241</v>
      </c>
      <c r="T13">
        <f t="shared" si="11"/>
        <v>0.33843638525564806</v>
      </c>
      <c r="U13">
        <f t="shared" si="11"/>
        <v>2.3042822219362987E-3</v>
      </c>
      <c r="V13">
        <f t="shared" si="11"/>
        <v>2.6522699122192902E-3</v>
      </c>
      <c r="W13">
        <f t="shared" si="11"/>
        <v>1.1926367643246047E-2</v>
      </c>
      <c r="X13">
        <f t="shared" si="11"/>
        <v>1.1736871404713306E-2</v>
      </c>
      <c r="Y13">
        <f t="shared" si="11"/>
        <v>3.4900431122972697E-2</v>
      </c>
      <c r="Z13">
        <f t="shared" si="11"/>
        <v>3.3933829033384898E-2</v>
      </c>
      <c r="AA13">
        <f t="shared" si="11"/>
        <v>1.6017832149707117E-2</v>
      </c>
      <c r="AB13">
        <f t="shared" si="11"/>
        <v>1.5898741992745234E-2</v>
      </c>
      <c r="AC13">
        <f t="shared" si="11"/>
        <v>5.9489732420659615E-2</v>
      </c>
      <c r="AD13">
        <f t="shared" si="11"/>
        <v>5.4892053284336245E-2</v>
      </c>
      <c r="AE13">
        <f t="shared" si="11"/>
        <v>0</v>
      </c>
      <c r="AF13">
        <f t="shared" si="11"/>
        <v>0</v>
      </c>
      <c r="AG13">
        <f t="shared" si="11"/>
        <v>1</v>
      </c>
      <c r="AH13">
        <f t="shared" si="11"/>
        <v>1</v>
      </c>
      <c r="AI13">
        <f t="shared" si="11"/>
        <v>3.3333333333333332E-4</v>
      </c>
      <c r="AJ13">
        <f t="shared" si="11"/>
        <v>4.669102216085057E-4</v>
      </c>
      <c r="AK13">
        <f t="shared" ref="AK13:AL13" si="12">IFERROR(AK12/AK6, 0)</f>
        <v>2.5000000000000001E-4</v>
      </c>
      <c r="AL13">
        <f t="shared" si="12"/>
        <v>2.820985878144694E-4</v>
      </c>
      <c r="AM13">
        <f t="shared" ref="AM13:AN13" si="13">IFERROR(AM12/AM6, 0)</f>
        <v>2.0000000000000001E-4</v>
      </c>
      <c r="AN13">
        <f t="shared" si="13"/>
        <v>2.2270098586097767E-4</v>
      </c>
    </row>
    <row r="14" spans="2:40" x14ac:dyDescent="0.3">
      <c r="B14" t="s">
        <v>5</v>
      </c>
      <c r="C14">
        <v>1086</v>
      </c>
      <c r="D14">
        <v>1086</v>
      </c>
      <c r="E14">
        <v>2003</v>
      </c>
      <c r="F14">
        <v>2003</v>
      </c>
      <c r="G14">
        <v>10974</v>
      </c>
      <c r="H14">
        <v>10974</v>
      </c>
      <c r="I14">
        <v>4562</v>
      </c>
      <c r="J14">
        <v>4562</v>
      </c>
      <c r="K14">
        <v>9278</v>
      </c>
      <c r="L14">
        <v>9278</v>
      </c>
      <c r="M14">
        <v>9604</v>
      </c>
      <c r="N14">
        <v>9604</v>
      </c>
      <c r="O14">
        <v>71</v>
      </c>
      <c r="P14">
        <v>71</v>
      </c>
      <c r="Q14">
        <v>35152</v>
      </c>
      <c r="R14">
        <v>35152</v>
      </c>
      <c r="S14">
        <v>36417</v>
      </c>
      <c r="T14">
        <v>36417</v>
      </c>
      <c r="U14">
        <v>3140</v>
      </c>
      <c r="V14">
        <v>3140</v>
      </c>
      <c r="W14">
        <v>8297</v>
      </c>
      <c r="X14">
        <v>8297</v>
      </c>
      <c r="Y14">
        <v>10879</v>
      </c>
      <c r="Z14">
        <v>10879</v>
      </c>
      <c r="AA14">
        <v>9877</v>
      </c>
      <c r="AB14">
        <v>9877</v>
      </c>
      <c r="AC14">
        <v>7716</v>
      </c>
      <c r="AD14">
        <v>7716</v>
      </c>
      <c r="AE14">
        <v>400727</v>
      </c>
      <c r="AF14">
        <v>400727</v>
      </c>
      <c r="AG14">
        <v>2000</v>
      </c>
      <c r="AH14">
        <v>2000</v>
      </c>
      <c r="AI14">
        <v>3000</v>
      </c>
      <c r="AJ14">
        <v>3000</v>
      </c>
      <c r="AK14">
        <v>4000</v>
      </c>
      <c r="AL14">
        <v>4000</v>
      </c>
      <c r="AM14">
        <v>5000</v>
      </c>
      <c r="AN14">
        <v>5000</v>
      </c>
    </row>
    <row r="15" spans="2:40" x14ac:dyDescent="0.3">
      <c r="B15" t="s">
        <v>6</v>
      </c>
      <c r="C15">
        <v>1086</v>
      </c>
      <c r="D15">
        <v>1086</v>
      </c>
      <c r="E15">
        <v>2003</v>
      </c>
      <c r="F15">
        <v>2003</v>
      </c>
      <c r="G15">
        <v>10974</v>
      </c>
      <c r="H15">
        <v>10974</v>
      </c>
      <c r="I15">
        <v>5761</v>
      </c>
      <c r="J15">
        <v>5761</v>
      </c>
      <c r="K15">
        <v>21534</v>
      </c>
      <c r="L15">
        <v>21534</v>
      </c>
      <c r="M15">
        <v>9604</v>
      </c>
      <c r="N15">
        <v>9604</v>
      </c>
      <c r="O15">
        <v>36699</v>
      </c>
      <c r="P15">
        <v>36699</v>
      </c>
      <c r="Q15">
        <v>35152</v>
      </c>
      <c r="R15">
        <v>35152</v>
      </c>
      <c r="S15">
        <v>36417</v>
      </c>
      <c r="T15">
        <v>36417</v>
      </c>
      <c r="U15">
        <v>3140</v>
      </c>
      <c r="V15">
        <v>3140</v>
      </c>
      <c r="W15">
        <v>8297</v>
      </c>
      <c r="X15">
        <v>8297</v>
      </c>
      <c r="Y15">
        <v>10879</v>
      </c>
      <c r="Z15">
        <v>10879</v>
      </c>
      <c r="AA15">
        <v>9877</v>
      </c>
      <c r="AB15">
        <v>9877</v>
      </c>
      <c r="AC15">
        <v>7716</v>
      </c>
      <c r="AD15">
        <v>7716</v>
      </c>
      <c r="AE15">
        <v>400727</v>
      </c>
      <c r="AF15">
        <v>400727</v>
      </c>
      <c r="AG15">
        <v>2000</v>
      </c>
      <c r="AH15">
        <v>2000</v>
      </c>
      <c r="AI15">
        <v>3000</v>
      </c>
      <c r="AJ15">
        <v>3000</v>
      </c>
      <c r="AK15">
        <v>4000</v>
      </c>
      <c r="AL15">
        <v>4000</v>
      </c>
      <c r="AM15">
        <v>5000</v>
      </c>
      <c r="AN15">
        <v>5000</v>
      </c>
    </row>
    <row r="16" spans="2:40" x14ac:dyDescent="0.3">
      <c r="B16" t="s">
        <v>7</v>
      </c>
      <c r="C16">
        <v>1.8712968332943301E-2</v>
      </c>
      <c r="D16">
        <v>1.8712968332943301E-2</v>
      </c>
      <c r="E16">
        <v>2.09079790199872E-2</v>
      </c>
      <c r="F16">
        <v>2.09079790199872E-2</v>
      </c>
      <c r="G16">
        <v>3.55936820230424E-3</v>
      </c>
      <c r="H16">
        <v>3.55936820230424E-3</v>
      </c>
      <c r="I16">
        <v>9.3714321632839104E-2</v>
      </c>
      <c r="J16">
        <v>9.3714321632839104E-2</v>
      </c>
      <c r="K16">
        <v>4.8376702439189201E-4</v>
      </c>
      <c r="L16">
        <v>4.8376702439189201E-4</v>
      </c>
      <c r="M16">
        <v>9.2440311469554599E-4</v>
      </c>
      <c r="N16">
        <v>9.2440311469554599E-4</v>
      </c>
      <c r="O16">
        <v>8.1568020619973106E-2</v>
      </c>
      <c r="P16">
        <v>8.1568020619973106E-2</v>
      </c>
      <c r="Q16">
        <v>6.1830283475066002E-4</v>
      </c>
      <c r="R16">
        <v>6.1830283475066002E-4</v>
      </c>
      <c r="S16">
        <v>3.27610610455435E-3</v>
      </c>
      <c r="T16">
        <v>3.27610610455435E-3</v>
      </c>
      <c r="U16">
        <v>5.5089455961702297E-2</v>
      </c>
      <c r="V16">
        <v>5.5089455961702297E-2</v>
      </c>
      <c r="W16">
        <v>1.50622726900785E-3</v>
      </c>
      <c r="X16">
        <v>1.50622726900785E-3</v>
      </c>
      <c r="Y16">
        <v>3.3792232823938402E-4</v>
      </c>
      <c r="Z16">
        <v>3.3792232823938402E-4</v>
      </c>
      <c r="AA16">
        <v>5.3273467559045498E-4</v>
      </c>
      <c r="AB16">
        <v>5.3273467559045498E-4</v>
      </c>
      <c r="AC16">
        <v>4.4454965693740002E-4</v>
      </c>
      <c r="AD16">
        <v>4.4454965693740002E-4</v>
      </c>
      <c r="AE16" s="1">
        <v>1.99302377500994E-5</v>
      </c>
      <c r="AF16" s="1">
        <v>1.99302377500994E-5</v>
      </c>
      <c r="AG16">
        <v>1</v>
      </c>
      <c r="AH16">
        <v>1</v>
      </c>
      <c r="AI16">
        <v>1</v>
      </c>
      <c r="AJ16">
        <v>1</v>
      </c>
      <c r="AK16">
        <v>1</v>
      </c>
      <c r="AL16">
        <v>1</v>
      </c>
      <c r="AM16">
        <v>1</v>
      </c>
      <c r="AN16">
        <v>1</v>
      </c>
    </row>
    <row r="17" spans="2:40" x14ac:dyDescent="0.3">
      <c r="B17" t="s">
        <v>0</v>
      </c>
      <c r="C17">
        <v>4</v>
      </c>
      <c r="D17">
        <v>4</v>
      </c>
      <c r="E17">
        <v>4</v>
      </c>
      <c r="F17">
        <v>4</v>
      </c>
      <c r="G17">
        <v>4</v>
      </c>
      <c r="H17">
        <v>4</v>
      </c>
      <c r="I17">
        <v>4</v>
      </c>
      <c r="J17">
        <v>4</v>
      </c>
      <c r="K17">
        <v>4</v>
      </c>
      <c r="L17">
        <v>4</v>
      </c>
      <c r="M17">
        <v>4</v>
      </c>
      <c r="N17">
        <v>4</v>
      </c>
      <c r="O17">
        <v>4</v>
      </c>
      <c r="P17">
        <v>4</v>
      </c>
      <c r="Q17">
        <v>4</v>
      </c>
      <c r="R17">
        <v>4</v>
      </c>
      <c r="S17">
        <v>4</v>
      </c>
      <c r="T17">
        <v>4</v>
      </c>
      <c r="U17">
        <v>4</v>
      </c>
      <c r="V17">
        <v>4</v>
      </c>
      <c r="W17">
        <v>4</v>
      </c>
      <c r="X17">
        <v>4</v>
      </c>
      <c r="Y17">
        <v>4</v>
      </c>
      <c r="Z17">
        <v>4</v>
      </c>
      <c r="AA17">
        <v>4</v>
      </c>
      <c r="AB17">
        <v>4</v>
      </c>
      <c r="AC17">
        <v>4</v>
      </c>
      <c r="AD17">
        <v>4</v>
      </c>
      <c r="AE17">
        <v>4</v>
      </c>
      <c r="AF17">
        <v>4</v>
      </c>
      <c r="AG17">
        <v>4</v>
      </c>
      <c r="AH17">
        <v>4</v>
      </c>
      <c r="AI17">
        <v>4</v>
      </c>
      <c r="AJ17">
        <v>4</v>
      </c>
      <c r="AK17">
        <v>4</v>
      </c>
      <c r="AL17">
        <v>4</v>
      </c>
      <c r="AM17">
        <v>4</v>
      </c>
      <c r="AN17">
        <v>4</v>
      </c>
    </row>
    <row r="22" spans="2:40" x14ac:dyDescent="0.3">
      <c r="B22" t="s">
        <v>27</v>
      </c>
      <c r="C22" t="s">
        <v>28</v>
      </c>
      <c r="D22" t="s">
        <v>29</v>
      </c>
      <c r="E22" t="s">
        <v>28</v>
      </c>
      <c r="F22" t="s">
        <v>30</v>
      </c>
      <c r="G22" t="s">
        <v>31</v>
      </c>
      <c r="H22" t="s">
        <v>32</v>
      </c>
      <c r="I22" t="s">
        <v>31</v>
      </c>
      <c r="J22" t="s">
        <v>33</v>
      </c>
      <c r="K22" t="s">
        <v>34</v>
      </c>
      <c r="L22" t="s">
        <v>35</v>
      </c>
      <c r="M22" t="s">
        <v>36</v>
      </c>
      <c r="N22" t="s">
        <v>36</v>
      </c>
      <c r="O22" t="s">
        <v>42</v>
      </c>
      <c r="P22" t="s">
        <v>43</v>
      </c>
      <c r="Q22" t="s">
        <v>36</v>
      </c>
      <c r="R22" t="s">
        <v>45</v>
      </c>
      <c r="S22" t="s">
        <v>45</v>
      </c>
      <c r="T22" t="s">
        <v>45</v>
      </c>
      <c r="U22" t="s">
        <v>45</v>
      </c>
    </row>
    <row r="23" spans="2:40" x14ac:dyDescent="0.3">
      <c r="B23" t="s">
        <v>26</v>
      </c>
      <c r="C23" t="s">
        <v>14</v>
      </c>
      <c r="D23" t="s">
        <v>15</v>
      </c>
      <c r="E23" t="s">
        <v>16</v>
      </c>
      <c r="F23" t="s">
        <v>17</v>
      </c>
      <c r="G23" t="s">
        <v>18</v>
      </c>
      <c r="H23" t="s">
        <v>19</v>
      </c>
      <c r="I23" t="s">
        <v>20</v>
      </c>
      <c r="J23" t="s">
        <v>21</v>
      </c>
      <c r="K23" t="s">
        <v>23</v>
      </c>
      <c r="L23" t="s">
        <v>24</v>
      </c>
      <c r="M23" t="s">
        <v>37</v>
      </c>
      <c r="N23" t="s">
        <v>41</v>
      </c>
      <c r="O23" t="s">
        <v>40</v>
      </c>
      <c r="P23" t="s">
        <v>39</v>
      </c>
      <c r="Q23" t="s">
        <v>38</v>
      </c>
      <c r="R23" t="s">
        <v>46</v>
      </c>
      <c r="S23" t="s">
        <v>47</v>
      </c>
      <c r="T23" t="s">
        <v>48</v>
      </c>
      <c r="U23" t="s">
        <v>49</v>
      </c>
    </row>
    <row r="24" spans="2:40" x14ac:dyDescent="0.3">
      <c r="B24" t="s">
        <v>50</v>
      </c>
      <c r="C24">
        <f>C9*100</f>
        <v>99.691889442682367</v>
      </c>
      <c r="D24">
        <f>E9*100</f>
        <v>99.834293003349899</v>
      </c>
      <c r="E24">
        <f>G9*100</f>
        <v>99.839962673509859</v>
      </c>
      <c r="F24">
        <f>I9*100</f>
        <v>93.234265947210076</v>
      </c>
      <c r="G24">
        <f>K9*100</f>
        <v>60.995520056283816</v>
      </c>
      <c r="H24">
        <f>M9*100</f>
        <v>99.295130418465007</v>
      </c>
      <c r="I24">
        <f>O9*100</f>
        <v>82.637764896299927</v>
      </c>
      <c r="J24">
        <f>Q9*100</f>
        <v>99.647650435724998</v>
      </c>
      <c r="K24">
        <f>S9*100</f>
        <v>99.858496374372379</v>
      </c>
      <c r="L24">
        <f>U9*100</f>
        <v>84.260070697400408</v>
      </c>
      <c r="M24">
        <f>W9*100</f>
        <v>59.08244847573031</v>
      </c>
      <c r="N24">
        <f>Y9*100</f>
        <v>51.282692403860572</v>
      </c>
      <c r="O24">
        <f>AA9*100</f>
        <v>25.762444440168558</v>
      </c>
      <c r="P24">
        <f>AC9*100</f>
        <v>69.641440284127412</v>
      </c>
      <c r="Q24">
        <f>AE9*100</f>
        <v>52.490001374810966</v>
      </c>
      <c r="R24">
        <f>AG9*100</f>
        <v>99.996875000000003</v>
      </c>
      <c r="S24">
        <f>AI9*100</f>
        <v>93.733333333333334</v>
      </c>
      <c r="T24">
        <f>AK9*100</f>
        <v>93.75</v>
      </c>
      <c r="U24">
        <f>AM9*100</f>
        <v>93.74</v>
      </c>
    </row>
    <row r="25" spans="2:40" x14ac:dyDescent="0.3">
      <c r="B25" t="s">
        <v>51</v>
      </c>
      <c r="C25">
        <f>D9*100</f>
        <v>99.691889442682367</v>
      </c>
      <c r="D25">
        <f>F9*100</f>
        <v>99.849790780015027</v>
      </c>
      <c r="E25">
        <f>H9*100</f>
        <v>99.831330922664179</v>
      </c>
      <c r="F25">
        <f>J9*100</f>
        <v>94.564164403139301</v>
      </c>
      <c r="G25">
        <f>L9*100</f>
        <v>65.607896288785668</v>
      </c>
      <c r="H25">
        <f>N9*100</f>
        <v>99.295130418465007</v>
      </c>
      <c r="I25">
        <f>P9*100</f>
        <v>82.747863891293704</v>
      </c>
      <c r="J25">
        <f>R9*100</f>
        <v>99.646995997455548</v>
      </c>
      <c r="K25">
        <f>T9*100</f>
        <v>99.845146975728255</v>
      </c>
      <c r="L25">
        <f>V9*100</f>
        <v>86.325208041829299</v>
      </c>
      <c r="M25">
        <f>X9*100</f>
        <v>58.421819093635776</v>
      </c>
      <c r="N25">
        <f>Z9*100</f>
        <v>49.894984247637147</v>
      </c>
      <c r="O25">
        <f>AB9*100</f>
        <v>25.206365088222277</v>
      </c>
      <c r="P25">
        <f>AD9*100</f>
        <v>67.098651150489289</v>
      </c>
      <c r="Q25">
        <f>AF9*100</f>
        <v>52.243504018197498</v>
      </c>
      <c r="R25">
        <f>AH9*100</f>
        <v>99.996875000000003</v>
      </c>
      <c r="S25">
        <f>AJ9*100</f>
        <v>95.526144444444455</v>
      </c>
      <c r="T25">
        <f>AL9*100</f>
        <v>94.461156250000002</v>
      </c>
      <c r="U25">
        <f>AN9*100</f>
        <v>94.378112000000002</v>
      </c>
    </row>
    <row r="26" spans="2:40" x14ac:dyDescent="0.3">
      <c r="B26" t="s">
        <v>52</v>
      </c>
      <c r="C26">
        <f>IFERROR(((C6-D6)/C6)*100, 0)</f>
        <v>0</v>
      </c>
      <c r="D26">
        <f>IFERROR(((E6-F6)/E6)*100, 0)</f>
        <v>9.3525179856115113</v>
      </c>
      <c r="E26">
        <f>IFERROR(((G6-H6)/G6)*100, 0)</f>
        <v>-5.3935860058309038</v>
      </c>
      <c r="F26">
        <f>IFERROR(((I6-J6)/I6)*100, 0)</f>
        <v>19.656380897514371</v>
      </c>
      <c r="G26">
        <f>IFERROR(((K6-L6)/K6)*100, 0)</f>
        <v>11.82524735404122</v>
      </c>
      <c r="H26">
        <f>IFERROR(((M6-N6)/M6)*100, 0)</f>
        <v>0</v>
      </c>
      <c r="I26">
        <f>IFERROR(((O6-P6)/O6)*100, 0)</f>
        <v>0.63412915639142575</v>
      </c>
      <c r="J26">
        <f>IFERROR(((Q6-R6)/Q6)*100, 0)</f>
        <v>-0.18573551263001484</v>
      </c>
      <c r="K26">
        <f>IFERROR(((S6-T6)/S6)*100, 0)</f>
        <v>-9.433962264150944</v>
      </c>
      <c r="L26">
        <f>IFERROR(((U6-V6)/U6)*100, 0)</f>
        <v>13.120372428152013</v>
      </c>
      <c r="M26">
        <f>IFERROR(((W6-X6)/W6)*100, 0)</f>
        <v>-1.6145379121785657</v>
      </c>
      <c r="N26">
        <f>IFERROR(((Y6-Z6)/Y6)*100, 0)</f>
        <v>-2.8484910695955659</v>
      </c>
      <c r="O26">
        <f>IFERROR(((AA6-AB6)/AA6)*100, 0)</f>
        <v>-0.74905396298792182</v>
      </c>
      <c r="P26">
        <f>IFERROR(((AC6-AD6)/AC6)*100, 0)</f>
        <v>-8.3758556316116994</v>
      </c>
      <c r="Q26">
        <f>IFERROR(((AE6-AF6)/AE6)*100, 0)</f>
        <v>-0.51883259049975372</v>
      </c>
      <c r="R26">
        <f>IFERROR(((AG6-AH6)/AG6)*100, 0)</f>
        <v>0</v>
      </c>
      <c r="S26">
        <f>IFERROR(((AI6-AJ6)/AI6)*100, 0)</f>
        <v>28.60868794326241</v>
      </c>
      <c r="T26">
        <f>IFERROR(((AK6-AL6)/AK6)*100, 0)</f>
        <v>11.378499999999999</v>
      </c>
      <c r="U26">
        <f>IFERROR(((AM6-AN6)/AM6)*100, 0)</f>
        <v>10.193482428115017</v>
      </c>
    </row>
    <row r="63" spans="2:40" x14ac:dyDescent="0.3">
      <c r="B63" s="6" t="s">
        <v>54</v>
      </c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</row>
    <row r="64" spans="2:40" x14ac:dyDescent="0.3">
      <c r="B64" t="s">
        <v>27</v>
      </c>
      <c r="C64" s="4" t="s">
        <v>28</v>
      </c>
      <c r="D64" s="4"/>
      <c r="E64" s="4" t="s">
        <v>29</v>
      </c>
      <c r="F64" s="4"/>
      <c r="G64" s="4" t="s">
        <v>28</v>
      </c>
      <c r="H64" s="4"/>
      <c r="I64" s="4" t="s">
        <v>30</v>
      </c>
      <c r="J64" s="4"/>
      <c r="K64" s="4" t="s">
        <v>31</v>
      </c>
      <c r="L64" s="4"/>
      <c r="M64" s="4" t="s">
        <v>32</v>
      </c>
      <c r="N64" s="4"/>
      <c r="O64" s="4" t="s">
        <v>31</v>
      </c>
      <c r="P64" s="4"/>
      <c r="Q64" s="4" t="s">
        <v>33</v>
      </c>
      <c r="R64" s="4"/>
      <c r="S64" s="4" t="s">
        <v>34</v>
      </c>
      <c r="T64" s="4"/>
      <c r="U64" s="4" t="s">
        <v>35</v>
      </c>
      <c r="V64" s="4"/>
      <c r="W64" s="4" t="s">
        <v>36</v>
      </c>
      <c r="X64" s="4"/>
      <c r="Y64" s="4" t="s">
        <v>36</v>
      </c>
      <c r="Z64" s="4"/>
      <c r="AA64" s="4" t="s">
        <v>42</v>
      </c>
      <c r="AB64" s="4"/>
      <c r="AC64" s="4" t="s">
        <v>43</v>
      </c>
      <c r="AD64" s="4"/>
      <c r="AE64" s="4" t="s">
        <v>36</v>
      </c>
      <c r="AF64" s="4"/>
      <c r="AG64" s="4" t="s">
        <v>45</v>
      </c>
      <c r="AH64" s="4"/>
      <c r="AI64" s="4" t="s">
        <v>45</v>
      </c>
      <c r="AJ64" s="4"/>
      <c r="AK64" s="4" t="s">
        <v>45</v>
      </c>
      <c r="AL64" s="4"/>
      <c r="AM64" s="4" t="s">
        <v>45</v>
      </c>
      <c r="AN64" s="4"/>
    </row>
    <row r="65" spans="2:40" x14ac:dyDescent="0.3">
      <c r="B65" t="s">
        <v>26</v>
      </c>
      <c r="C65" s="4" t="s">
        <v>14</v>
      </c>
      <c r="D65" s="4"/>
      <c r="E65" s="4" t="s">
        <v>15</v>
      </c>
      <c r="F65" s="4"/>
      <c r="G65" s="4" t="s">
        <v>16</v>
      </c>
      <c r="H65" s="4"/>
      <c r="I65" s="4" t="s">
        <v>17</v>
      </c>
      <c r="J65" s="4"/>
      <c r="K65" s="4" t="s">
        <v>18</v>
      </c>
      <c r="L65" s="4"/>
      <c r="M65" s="4" t="s">
        <v>19</v>
      </c>
      <c r="N65" s="4"/>
      <c r="O65" s="4" t="s">
        <v>20</v>
      </c>
      <c r="P65" s="4"/>
      <c r="Q65" s="4" t="s">
        <v>21</v>
      </c>
      <c r="R65" s="4"/>
      <c r="S65" s="4" t="s">
        <v>23</v>
      </c>
      <c r="T65" s="4"/>
      <c r="U65" s="4" t="s">
        <v>24</v>
      </c>
      <c r="V65" s="4"/>
      <c r="W65" s="4" t="s">
        <v>37</v>
      </c>
      <c r="X65" s="4"/>
      <c r="Y65" s="4" t="s">
        <v>41</v>
      </c>
      <c r="Z65" s="4"/>
      <c r="AA65" s="4" t="s">
        <v>40</v>
      </c>
      <c r="AB65" s="4"/>
      <c r="AC65" s="4" t="s">
        <v>39</v>
      </c>
      <c r="AD65" s="4"/>
      <c r="AE65" s="4" t="s">
        <v>38</v>
      </c>
      <c r="AF65" s="4"/>
      <c r="AG65" s="4" t="s">
        <v>46</v>
      </c>
      <c r="AH65" s="4"/>
      <c r="AI65" s="4" t="s">
        <v>47</v>
      </c>
      <c r="AJ65" s="4"/>
      <c r="AK65" s="4" t="s">
        <v>48</v>
      </c>
      <c r="AL65" s="4"/>
      <c r="AM65" s="4" t="s">
        <v>49</v>
      </c>
      <c r="AN65" s="4"/>
    </row>
    <row r="66" spans="2:40" x14ac:dyDescent="0.3">
      <c r="B66" t="s">
        <v>25</v>
      </c>
      <c r="C66" t="s">
        <v>1</v>
      </c>
      <c r="D66" t="s">
        <v>13</v>
      </c>
      <c r="E66" t="s">
        <v>1</v>
      </c>
      <c r="F66" t="s">
        <v>13</v>
      </c>
      <c r="G66" t="s">
        <v>1</v>
      </c>
      <c r="H66" t="s">
        <v>13</v>
      </c>
      <c r="I66" t="s">
        <v>1</v>
      </c>
      <c r="J66" t="s">
        <v>13</v>
      </c>
      <c r="K66" t="s">
        <v>1</v>
      </c>
      <c r="L66" t="s">
        <v>13</v>
      </c>
      <c r="M66" t="s">
        <v>1</v>
      </c>
      <c r="N66" t="s">
        <v>13</v>
      </c>
      <c r="O66" t="s">
        <v>1</v>
      </c>
      <c r="P66" t="s">
        <v>13</v>
      </c>
      <c r="Q66" t="s">
        <v>1</v>
      </c>
      <c r="R66" t="s">
        <v>13</v>
      </c>
      <c r="S66" t="s">
        <v>1</v>
      </c>
      <c r="T66" t="s">
        <v>13</v>
      </c>
      <c r="U66" t="s">
        <v>1</v>
      </c>
      <c r="V66" t="s">
        <v>13</v>
      </c>
      <c r="W66" t="s">
        <v>1</v>
      </c>
      <c r="X66" t="s">
        <v>13</v>
      </c>
      <c r="Y66" t="s">
        <v>1</v>
      </c>
      <c r="Z66" t="s">
        <v>13</v>
      </c>
      <c r="AA66" t="s">
        <v>1</v>
      </c>
      <c r="AB66" t="s">
        <v>13</v>
      </c>
      <c r="AC66" t="s">
        <v>1</v>
      </c>
      <c r="AD66" t="s">
        <v>13</v>
      </c>
      <c r="AE66" t="s">
        <v>1</v>
      </c>
      <c r="AF66" t="s">
        <v>13</v>
      </c>
      <c r="AG66" t="s">
        <v>22</v>
      </c>
      <c r="AH66" t="s">
        <v>13</v>
      </c>
      <c r="AI66" t="s">
        <v>22</v>
      </c>
      <c r="AJ66" t="s">
        <v>13</v>
      </c>
      <c r="AK66" t="s">
        <v>22</v>
      </c>
      <c r="AL66" t="s">
        <v>13</v>
      </c>
      <c r="AM66" t="s">
        <v>22</v>
      </c>
      <c r="AN66" t="s">
        <v>13</v>
      </c>
    </row>
    <row r="67" spans="2:40" x14ac:dyDescent="0.3">
      <c r="B67" t="s">
        <v>4</v>
      </c>
      <c r="C67">
        <v>68</v>
      </c>
      <c r="D67">
        <v>68</v>
      </c>
      <c r="E67">
        <v>139</v>
      </c>
      <c r="F67">
        <v>126</v>
      </c>
      <c r="G67">
        <v>686</v>
      </c>
      <c r="H67">
        <v>686</v>
      </c>
      <c r="I67">
        <v>166638</v>
      </c>
      <c r="J67">
        <v>132937</v>
      </c>
      <c r="K67">
        <v>37699</v>
      </c>
      <c r="L67">
        <v>32871</v>
      </c>
      <c r="M67">
        <v>601</v>
      </c>
      <c r="N67">
        <v>601</v>
      </c>
      <c r="O67">
        <v>36901</v>
      </c>
      <c r="P67">
        <v>36652</v>
      </c>
      <c r="Q67">
        <v>2692</v>
      </c>
      <c r="R67">
        <v>2692</v>
      </c>
      <c r="S67">
        <v>6148</v>
      </c>
      <c r="T67">
        <v>6148</v>
      </c>
      <c r="U67">
        <v>85493</v>
      </c>
      <c r="V67">
        <v>73725</v>
      </c>
      <c r="W67">
        <v>42427</v>
      </c>
      <c r="X67">
        <v>42427</v>
      </c>
      <c r="Y67">
        <v>19484</v>
      </c>
      <c r="Z67">
        <v>19484</v>
      </c>
      <c r="AA67">
        <v>38582</v>
      </c>
      <c r="AB67">
        <v>38582</v>
      </c>
      <c r="AC67">
        <v>8035</v>
      </c>
      <c r="AD67">
        <v>8035</v>
      </c>
      <c r="AE67">
        <v>1520529</v>
      </c>
      <c r="AF67">
        <v>1520529</v>
      </c>
      <c r="AG67">
        <v>125</v>
      </c>
      <c r="AH67">
        <v>125</v>
      </c>
      <c r="AI67">
        <v>564000</v>
      </c>
      <c r="AJ67">
        <v>336631</v>
      </c>
      <c r="AK67">
        <v>1000000</v>
      </c>
      <c r="AL67">
        <v>809302</v>
      </c>
      <c r="AM67">
        <v>1565000</v>
      </c>
      <c r="AN67">
        <v>1406099</v>
      </c>
    </row>
    <row r="68" spans="2:40" x14ac:dyDescent="0.3">
      <c r="B68" t="s">
        <v>2</v>
      </c>
      <c r="C68">
        <v>22002</v>
      </c>
      <c r="D68">
        <v>22002</v>
      </c>
      <c r="E68">
        <v>83744</v>
      </c>
      <c r="F68">
        <v>83757</v>
      </c>
      <c r="G68">
        <v>427964</v>
      </c>
      <c r="H68">
        <v>427964</v>
      </c>
      <c r="I68">
        <v>2296332</v>
      </c>
      <c r="J68">
        <v>2330033</v>
      </c>
      <c r="K68">
        <v>58954</v>
      </c>
      <c r="L68">
        <v>63782</v>
      </c>
      <c r="M68">
        <v>84663</v>
      </c>
      <c r="N68">
        <v>84663</v>
      </c>
      <c r="O68">
        <v>175635</v>
      </c>
      <c r="P68">
        <v>175884</v>
      </c>
      <c r="Q68">
        <v>761322</v>
      </c>
      <c r="R68">
        <v>761322</v>
      </c>
      <c r="S68">
        <v>4338617</v>
      </c>
      <c r="T68">
        <v>4338617</v>
      </c>
      <c r="U68">
        <v>457667</v>
      </c>
      <c r="V68">
        <v>469435</v>
      </c>
      <c r="W68">
        <v>61262</v>
      </c>
      <c r="X68">
        <v>61262</v>
      </c>
      <c r="Y68">
        <v>20510</v>
      </c>
      <c r="Z68">
        <v>20510</v>
      </c>
      <c r="AA68">
        <v>13389</v>
      </c>
      <c r="AB68">
        <v>13389</v>
      </c>
      <c r="AC68">
        <v>18432</v>
      </c>
      <c r="AD68">
        <v>18432</v>
      </c>
      <c r="AE68">
        <v>1679911</v>
      </c>
      <c r="AF68">
        <v>1679911</v>
      </c>
      <c r="AG68">
        <v>3999875</v>
      </c>
      <c r="AH68">
        <v>3999875</v>
      </c>
      <c r="AI68">
        <v>8436000</v>
      </c>
      <c r="AJ68">
        <v>8663369</v>
      </c>
      <c r="AK68">
        <v>15000000</v>
      </c>
      <c r="AL68">
        <v>15190698</v>
      </c>
      <c r="AM68">
        <v>23435000</v>
      </c>
      <c r="AN68">
        <v>23593901</v>
      </c>
    </row>
    <row r="69" spans="2:40" x14ac:dyDescent="0.3">
      <c r="B69" t="s">
        <v>3</v>
      </c>
      <c r="C69">
        <f t="shared" ref="C69:AN69" si="14">C67+C68</f>
        <v>22070</v>
      </c>
      <c r="D69">
        <f t="shared" si="14"/>
        <v>22070</v>
      </c>
      <c r="E69">
        <f t="shared" si="14"/>
        <v>83883</v>
      </c>
      <c r="F69">
        <f t="shared" si="14"/>
        <v>83883</v>
      </c>
      <c r="G69">
        <f t="shared" si="14"/>
        <v>428650</v>
      </c>
      <c r="H69">
        <f t="shared" si="14"/>
        <v>428650</v>
      </c>
      <c r="I69">
        <f t="shared" si="14"/>
        <v>2462970</v>
      </c>
      <c r="J69">
        <f t="shared" si="14"/>
        <v>2462970</v>
      </c>
      <c r="K69">
        <f t="shared" si="14"/>
        <v>96653</v>
      </c>
      <c r="L69">
        <f t="shared" si="14"/>
        <v>96653</v>
      </c>
      <c r="M69">
        <f t="shared" si="14"/>
        <v>85264</v>
      </c>
      <c r="N69">
        <f t="shared" si="14"/>
        <v>85264</v>
      </c>
      <c r="O69">
        <f t="shared" si="14"/>
        <v>212536</v>
      </c>
      <c r="P69">
        <f t="shared" si="14"/>
        <v>212536</v>
      </c>
      <c r="Q69">
        <f t="shared" si="14"/>
        <v>764014</v>
      </c>
      <c r="R69">
        <f t="shared" si="14"/>
        <v>764014</v>
      </c>
      <c r="S69">
        <f t="shared" si="14"/>
        <v>4344765</v>
      </c>
      <c r="T69">
        <f t="shared" si="14"/>
        <v>4344765</v>
      </c>
      <c r="U69">
        <f t="shared" si="14"/>
        <v>543160</v>
      </c>
      <c r="V69">
        <f t="shared" si="14"/>
        <v>543160</v>
      </c>
      <c r="W69">
        <f t="shared" si="14"/>
        <v>103689</v>
      </c>
      <c r="X69">
        <f t="shared" si="14"/>
        <v>103689</v>
      </c>
      <c r="Y69">
        <f t="shared" si="14"/>
        <v>39994</v>
      </c>
      <c r="Z69">
        <f t="shared" si="14"/>
        <v>39994</v>
      </c>
      <c r="AA69">
        <f t="shared" si="14"/>
        <v>51971</v>
      </c>
      <c r="AB69">
        <f t="shared" si="14"/>
        <v>51971</v>
      </c>
      <c r="AC69">
        <f t="shared" si="14"/>
        <v>26467</v>
      </c>
      <c r="AD69">
        <f t="shared" si="14"/>
        <v>26467</v>
      </c>
      <c r="AE69">
        <f t="shared" si="14"/>
        <v>3200440</v>
      </c>
      <c r="AF69">
        <f t="shared" si="14"/>
        <v>3200440</v>
      </c>
      <c r="AG69">
        <f t="shared" si="14"/>
        <v>4000000</v>
      </c>
      <c r="AH69">
        <f t="shared" si="14"/>
        <v>4000000</v>
      </c>
      <c r="AI69">
        <f t="shared" si="14"/>
        <v>9000000</v>
      </c>
      <c r="AJ69">
        <f t="shared" si="14"/>
        <v>9000000</v>
      </c>
      <c r="AK69">
        <f t="shared" si="14"/>
        <v>16000000</v>
      </c>
      <c r="AL69">
        <f t="shared" si="14"/>
        <v>16000000</v>
      </c>
      <c r="AM69">
        <f t="shared" si="14"/>
        <v>25000000</v>
      </c>
      <c r="AN69">
        <f t="shared" si="14"/>
        <v>25000000</v>
      </c>
    </row>
    <row r="70" spans="2:40" x14ac:dyDescent="0.3">
      <c r="B70" t="s">
        <v>10</v>
      </c>
      <c r="C70">
        <f t="shared" ref="C70:AN70" si="15">IFERROR(C68/C69, 0)</f>
        <v>0.99691889442682369</v>
      </c>
      <c r="D70">
        <f t="shared" si="15"/>
        <v>0.99691889442682369</v>
      </c>
      <c r="E70">
        <f t="shared" si="15"/>
        <v>0.99834293003349905</v>
      </c>
      <c r="F70">
        <f t="shared" si="15"/>
        <v>0.99849790780015024</v>
      </c>
      <c r="G70">
        <f t="shared" si="15"/>
        <v>0.99839962673509852</v>
      </c>
      <c r="H70">
        <f t="shared" si="15"/>
        <v>0.99839962673509852</v>
      </c>
      <c r="I70">
        <f t="shared" si="15"/>
        <v>0.93234265947210071</v>
      </c>
      <c r="J70">
        <f t="shared" si="15"/>
        <v>0.9460257331595594</v>
      </c>
      <c r="K70">
        <f t="shared" si="15"/>
        <v>0.60995520056283814</v>
      </c>
      <c r="L70">
        <f t="shared" si="15"/>
        <v>0.6599070903127684</v>
      </c>
      <c r="M70">
        <f t="shared" si="15"/>
        <v>0.99295130418465005</v>
      </c>
      <c r="N70">
        <f t="shared" si="15"/>
        <v>0.99295130418465005</v>
      </c>
      <c r="O70">
        <f t="shared" si="15"/>
        <v>0.82637764896299926</v>
      </c>
      <c r="P70">
        <f t="shared" si="15"/>
        <v>0.82754921519177926</v>
      </c>
      <c r="Q70">
        <f t="shared" si="15"/>
        <v>0.99647650435724999</v>
      </c>
      <c r="R70">
        <f t="shared" si="15"/>
        <v>0.99647650435724999</v>
      </c>
      <c r="S70">
        <f t="shared" si="15"/>
        <v>0.99858496374372374</v>
      </c>
      <c r="T70">
        <f t="shared" si="15"/>
        <v>0.99858496374372374</v>
      </c>
      <c r="U70">
        <f t="shared" si="15"/>
        <v>0.84260070697400402</v>
      </c>
      <c r="V70">
        <f t="shared" si="15"/>
        <v>0.8642665144708741</v>
      </c>
      <c r="W70">
        <f t="shared" si="15"/>
        <v>0.59082448475730309</v>
      </c>
      <c r="X70">
        <f t="shared" si="15"/>
        <v>0.59082448475730309</v>
      </c>
      <c r="Y70">
        <f t="shared" si="15"/>
        <v>0.51282692403860575</v>
      </c>
      <c r="Z70">
        <f t="shared" si="15"/>
        <v>0.51282692403860575</v>
      </c>
      <c r="AA70">
        <f t="shared" si="15"/>
        <v>0.25762444440168558</v>
      </c>
      <c r="AB70">
        <f t="shared" si="15"/>
        <v>0.25762444440168558</v>
      </c>
      <c r="AC70">
        <f t="shared" si="15"/>
        <v>0.69641440284127409</v>
      </c>
      <c r="AD70">
        <f t="shared" si="15"/>
        <v>0.69641440284127409</v>
      </c>
      <c r="AE70">
        <f t="shared" si="15"/>
        <v>0.52490001374810968</v>
      </c>
      <c r="AF70">
        <f t="shared" si="15"/>
        <v>0.52490001374810968</v>
      </c>
      <c r="AG70">
        <f t="shared" si="15"/>
        <v>0.99996874999999996</v>
      </c>
      <c r="AH70">
        <f t="shared" si="15"/>
        <v>0.99996874999999996</v>
      </c>
      <c r="AI70">
        <f t="shared" si="15"/>
        <v>0.93733333333333335</v>
      </c>
      <c r="AJ70">
        <f t="shared" si="15"/>
        <v>0.96259655555555557</v>
      </c>
      <c r="AK70">
        <f t="shared" si="15"/>
        <v>0.9375</v>
      </c>
      <c r="AL70">
        <f t="shared" si="15"/>
        <v>0.94941862499999996</v>
      </c>
      <c r="AM70">
        <f t="shared" si="15"/>
        <v>0.93740000000000001</v>
      </c>
      <c r="AN70">
        <f t="shared" si="15"/>
        <v>0.94375604000000002</v>
      </c>
    </row>
    <row r="71" spans="2:40" x14ac:dyDescent="0.3">
      <c r="B71" t="s">
        <v>11</v>
      </c>
      <c r="C71">
        <f t="shared" ref="C71:AN71" si="16">IFERROR(C67/C69, 0)</f>
        <v>3.0811055731762575E-3</v>
      </c>
      <c r="D71">
        <f t="shared" si="16"/>
        <v>3.0811055731762575E-3</v>
      </c>
      <c r="E71">
        <f t="shared" si="16"/>
        <v>1.6570699665009597E-3</v>
      </c>
      <c r="F71">
        <f t="shared" si="16"/>
        <v>1.5020921998497908E-3</v>
      </c>
      <c r="G71">
        <f t="shared" si="16"/>
        <v>1.6003732649014348E-3</v>
      </c>
      <c r="H71">
        <f t="shared" si="16"/>
        <v>1.6003732649014348E-3</v>
      </c>
      <c r="I71">
        <f t="shared" si="16"/>
        <v>6.7657340527899248E-2</v>
      </c>
      <c r="J71">
        <f t="shared" si="16"/>
        <v>5.3974266840440606E-2</v>
      </c>
      <c r="K71">
        <f t="shared" si="16"/>
        <v>0.3900447994371618</v>
      </c>
      <c r="L71">
        <f t="shared" si="16"/>
        <v>0.34009290968723166</v>
      </c>
      <c r="M71">
        <f t="shared" si="16"/>
        <v>7.0486958153499722E-3</v>
      </c>
      <c r="N71">
        <f t="shared" si="16"/>
        <v>7.0486958153499722E-3</v>
      </c>
      <c r="O71">
        <f t="shared" si="16"/>
        <v>0.1736223510370008</v>
      </c>
      <c r="P71">
        <f t="shared" si="16"/>
        <v>0.17245078480822074</v>
      </c>
      <c r="Q71">
        <f t="shared" si="16"/>
        <v>3.5234956427500018E-3</v>
      </c>
      <c r="R71">
        <f t="shared" si="16"/>
        <v>3.5234956427500018E-3</v>
      </c>
      <c r="S71">
        <f t="shared" si="16"/>
        <v>1.4150362562762313E-3</v>
      </c>
      <c r="T71">
        <f t="shared" si="16"/>
        <v>1.4150362562762313E-3</v>
      </c>
      <c r="U71">
        <f t="shared" si="16"/>
        <v>0.15739929302599603</v>
      </c>
      <c r="V71">
        <f t="shared" si="16"/>
        <v>0.13573348552912587</v>
      </c>
      <c r="W71">
        <f t="shared" si="16"/>
        <v>0.40917551524269691</v>
      </c>
      <c r="X71">
        <f t="shared" si="16"/>
        <v>0.40917551524269691</v>
      </c>
      <c r="Y71">
        <f t="shared" si="16"/>
        <v>0.4871730759613942</v>
      </c>
      <c r="Z71">
        <f t="shared" si="16"/>
        <v>0.4871730759613942</v>
      </c>
      <c r="AA71">
        <f t="shared" si="16"/>
        <v>0.74237555559831447</v>
      </c>
      <c r="AB71">
        <f t="shared" si="16"/>
        <v>0.74237555559831447</v>
      </c>
      <c r="AC71">
        <f t="shared" si="16"/>
        <v>0.30358559715872596</v>
      </c>
      <c r="AD71">
        <f t="shared" si="16"/>
        <v>0.30358559715872596</v>
      </c>
      <c r="AE71">
        <f t="shared" si="16"/>
        <v>0.47509998625189037</v>
      </c>
      <c r="AF71">
        <f t="shared" si="16"/>
        <v>0.47509998625189037</v>
      </c>
      <c r="AG71">
        <f t="shared" si="16"/>
        <v>3.1250000000000001E-5</v>
      </c>
      <c r="AH71">
        <f t="shared" si="16"/>
        <v>3.1250000000000001E-5</v>
      </c>
      <c r="AI71">
        <f t="shared" si="16"/>
        <v>6.2666666666666662E-2</v>
      </c>
      <c r="AJ71">
        <f t="shared" si="16"/>
        <v>3.7403444444444447E-2</v>
      </c>
      <c r="AK71">
        <f t="shared" si="16"/>
        <v>6.25E-2</v>
      </c>
      <c r="AL71">
        <f t="shared" si="16"/>
        <v>5.0581374999999998E-2</v>
      </c>
      <c r="AM71">
        <f t="shared" si="16"/>
        <v>6.2600000000000003E-2</v>
      </c>
      <c r="AN71">
        <f t="shared" si="16"/>
        <v>5.6243960000000003E-2</v>
      </c>
    </row>
    <row r="72" spans="2:40" x14ac:dyDescent="0.3">
      <c r="B72" t="s">
        <v>12</v>
      </c>
      <c r="C72">
        <v>128</v>
      </c>
      <c r="D72">
        <v>128</v>
      </c>
      <c r="E72">
        <v>128</v>
      </c>
      <c r="F72">
        <v>128</v>
      </c>
      <c r="G72">
        <v>128</v>
      </c>
      <c r="H72">
        <v>128</v>
      </c>
      <c r="I72">
        <v>128</v>
      </c>
      <c r="J72">
        <v>128</v>
      </c>
      <c r="K72">
        <v>128</v>
      </c>
      <c r="L72">
        <v>128</v>
      </c>
      <c r="M72">
        <v>128</v>
      </c>
      <c r="N72">
        <v>128</v>
      </c>
      <c r="O72">
        <v>128</v>
      </c>
      <c r="P72">
        <v>128</v>
      </c>
      <c r="Q72">
        <v>128</v>
      </c>
      <c r="R72">
        <v>128</v>
      </c>
      <c r="S72">
        <v>128</v>
      </c>
      <c r="T72">
        <v>128</v>
      </c>
      <c r="U72">
        <v>128</v>
      </c>
      <c r="V72">
        <v>128</v>
      </c>
      <c r="W72">
        <v>128</v>
      </c>
      <c r="X72">
        <v>128</v>
      </c>
      <c r="Y72">
        <v>128</v>
      </c>
      <c r="Z72">
        <v>128</v>
      </c>
      <c r="AA72">
        <v>128</v>
      </c>
      <c r="AB72">
        <v>128</v>
      </c>
      <c r="AC72">
        <v>128</v>
      </c>
      <c r="AD72">
        <v>128</v>
      </c>
      <c r="AE72">
        <v>128</v>
      </c>
      <c r="AF72">
        <v>128</v>
      </c>
      <c r="AG72">
        <v>128</v>
      </c>
      <c r="AH72">
        <v>128</v>
      </c>
      <c r="AI72">
        <v>128</v>
      </c>
      <c r="AJ72">
        <v>128</v>
      </c>
      <c r="AK72">
        <v>128</v>
      </c>
      <c r="AL72">
        <v>128</v>
      </c>
      <c r="AM72">
        <v>128</v>
      </c>
      <c r="AN72">
        <v>128</v>
      </c>
    </row>
    <row r="73" spans="2:40" x14ac:dyDescent="0.3">
      <c r="B73" t="s">
        <v>9</v>
      </c>
      <c r="C73">
        <v>68</v>
      </c>
      <c r="D73">
        <v>68</v>
      </c>
      <c r="E73">
        <v>126</v>
      </c>
      <c r="F73">
        <v>126</v>
      </c>
      <c r="G73">
        <v>686</v>
      </c>
      <c r="H73">
        <v>686</v>
      </c>
      <c r="I73">
        <v>361</v>
      </c>
      <c r="J73">
        <v>361</v>
      </c>
      <c r="K73">
        <v>1346</v>
      </c>
      <c r="L73">
        <v>1346</v>
      </c>
      <c r="M73">
        <v>601</v>
      </c>
      <c r="N73">
        <v>601</v>
      </c>
      <c r="O73">
        <v>2294</v>
      </c>
      <c r="P73">
        <v>2294</v>
      </c>
      <c r="Q73">
        <v>2197</v>
      </c>
      <c r="R73">
        <v>2197</v>
      </c>
      <c r="S73">
        <v>2277</v>
      </c>
      <c r="T73">
        <v>2277</v>
      </c>
      <c r="U73">
        <v>197</v>
      </c>
      <c r="V73">
        <v>197</v>
      </c>
      <c r="W73">
        <v>506</v>
      </c>
      <c r="X73">
        <v>506</v>
      </c>
      <c r="Y73">
        <v>680</v>
      </c>
      <c r="Z73">
        <v>680</v>
      </c>
      <c r="AA73">
        <v>618</v>
      </c>
      <c r="AB73">
        <v>618</v>
      </c>
      <c r="AC73">
        <v>478</v>
      </c>
      <c r="AD73">
        <v>478</v>
      </c>
      <c r="AE73" t="s">
        <v>44</v>
      </c>
      <c r="AF73" t="s">
        <v>44</v>
      </c>
      <c r="AG73">
        <v>125</v>
      </c>
      <c r="AH73">
        <v>125</v>
      </c>
      <c r="AI73">
        <v>188</v>
      </c>
      <c r="AJ73">
        <v>188</v>
      </c>
      <c r="AK73">
        <v>250</v>
      </c>
      <c r="AL73">
        <v>250</v>
      </c>
      <c r="AM73">
        <v>313</v>
      </c>
      <c r="AN73">
        <v>313</v>
      </c>
    </row>
    <row r="74" spans="2:40" x14ac:dyDescent="0.3">
      <c r="B74" t="s">
        <v>8</v>
      </c>
      <c r="C74">
        <f t="shared" ref="C74:AN74" si="17">IFERROR(C73/C67, 0)</f>
        <v>1</v>
      </c>
      <c r="D74">
        <f t="shared" si="17"/>
        <v>1</v>
      </c>
      <c r="E74">
        <f t="shared" si="17"/>
        <v>0.90647482014388492</v>
      </c>
      <c r="F74">
        <f t="shared" si="17"/>
        <v>1</v>
      </c>
      <c r="G74">
        <f t="shared" si="17"/>
        <v>1</v>
      </c>
      <c r="H74">
        <f t="shared" si="17"/>
        <v>1</v>
      </c>
      <c r="I74">
        <f t="shared" si="17"/>
        <v>2.1663726160899674E-3</v>
      </c>
      <c r="J74">
        <f t="shared" si="17"/>
        <v>2.7155720378826062E-3</v>
      </c>
      <c r="K74">
        <f t="shared" si="17"/>
        <v>3.5703864824000633E-2</v>
      </c>
      <c r="L74">
        <f t="shared" si="17"/>
        <v>4.0947948039305161E-2</v>
      </c>
      <c r="M74">
        <f t="shared" si="17"/>
        <v>1</v>
      </c>
      <c r="N74">
        <f t="shared" si="17"/>
        <v>1</v>
      </c>
      <c r="O74">
        <f t="shared" si="17"/>
        <v>6.2166336955638057E-2</v>
      </c>
      <c r="P74">
        <f t="shared" si="17"/>
        <v>6.2588671832369311E-2</v>
      </c>
      <c r="Q74">
        <f t="shared" si="17"/>
        <v>0.81612184249628528</v>
      </c>
      <c r="R74">
        <f t="shared" si="17"/>
        <v>0.81612184249628528</v>
      </c>
      <c r="S74">
        <f t="shared" si="17"/>
        <v>0.37036434612882241</v>
      </c>
      <c r="T74">
        <f t="shared" si="17"/>
        <v>0.37036434612882241</v>
      </c>
      <c r="U74">
        <f t="shared" si="17"/>
        <v>2.3042822219362987E-3</v>
      </c>
      <c r="V74">
        <f t="shared" si="17"/>
        <v>2.6720922346558157E-3</v>
      </c>
      <c r="W74">
        <f t="shared" si="17"/>
        <v>1.1926367643246047E-2</v>
      </c>
      <c r="X74">
        <f t="shared" si="17"/>
        <v>1.1926367643246047E-2</v>
      </c>
      <c r="Y74">
        <f t="shared" si="17"/>
        <v>3.4900431122972697E-2</v>
      </c>
      <c r="Z74">
        <f t="shared" si="17"/>
        <v>3.4900431122972697E-2</v>
      </c>
      <c r="AA74">
        <f t="shared" si="17"/>
        <v>1.6017832149707117E-2</v>
      </c>
      <c r="AB74">
        <f t="shared" si="17"/>
        <v>1.6017832149707117E-2</v>
      </c>
      <c r="AC74">
        <f t="shared" si="17"/>
        <v>5.9489732420659615E-2</v>
      </c>
      <c r="AD74">
        <f t="shared" si="17"/>
        <v>5.9489732420659615E-2</v>
      </c>
      <c r="AE74">
        <f t="shared" si="17"/>
        <v>0</v>
      </c>
      <c r="AF74">
        <f t="shared" si="17"/>
        <v>0</v>
      </c>
      <c r="AG74">
        <f t="shared" si="17"/>
        <v>1</v>
      </c>
      <c r="AH74">
        <f t="shared" si="17"/>
        <v>1</v>
      </c>
      <c r="AI74">
        <f t="shared" si="17"/>
        <v>3.3333333333333332E-4</v>
      </c>
      <c r="AJ74">
        <f t="shared" si="17"/>
        <v>5.5847500675814169E-4</v>
      </c>
      <c r="AK74">
        <f t="shared" si="17"/>
        <v>2.5000000000000001E-4</v>
      </c>
      <c r="AL74">
        <f t="shared" si="17"/>
        <v>3.0890817025041331E-4</v>
      </c>
      <c r="AM74">
        <f t="shared" si="17"/>
        <v>2.0000000000000001E-4</v>
      </c>
      <c r="AN74">
        <f t="shared" si="17"/>
        <v>2.2260168025153279E-4</v>
      </c>
    </row>
    <row r="75" spans="2:40" x14ac:dyDescent="0.3">
      <c r="B75" t="s">
        <v>5</v>
      </c>
      <c r="C75">
        <v>1086</v>
      </c>
      <c r="D75">
        <v>1086</v>
      </c>
      <c r="E75">
        <v>2003</v>
      </c>
      <c r="F75">
        <v>2003</v>
      </c>
      <c r="G75">
        <v>10974</v>
      </c>
      <c r="H75">
        <v>10974</v>
      </c>
      <c r="I75">
        <v>4562</v>
      </c>
      <c r="J75">
        <v>4562</v>
      </c>
      <c r="K75">
        <v>9278</v>
      </c>
      <c r="L75">
        <v>9278</v>
      </c>
      <c r="M75">
        <v>9604</v>
      </c>
      <c r="N75">
        <v>9604</v>
      </c>
      <c r="O75">
        <v>71</v>
      </c>
      <c r="P75">
        <v>71</v>
      </c>
      <c r="Q75">
        <v>35152</v>
      </c>
      <c r="R75">
        <v>35152</v>
      </c>
      <c r="S75">
        <v>36417</v>
      </c>
      <c r="T75">
        <v>36417</v>
      </c>
      <c r="U75">
        <v>3140</v>
      </c>
      <c r="V75">
        <v>3140</v>
      </c>
      <c r="W75">
        <v>8297</v>
      </c>
      <c r="X75">
        <v>8297</v>
      </c>
      <c r="Y75">
        <v>10879</v>
      </c>
      <c r="Z75">
        <v>10879</v>
      </c>
      <c r="AA75">
        <v>9877</v>
      </c>
      <c r="AB75">
        <v>9877</v>
      </c>
      <c r="AC75">
        <v>7716</v>
      </c>
      <c r="AD75">
        <v>7716</v>
      </c>
      <c r="AE75">
        <v>400727</v>
      </c>
      <c r="AF75">
        <v>400727</v>
      </c>
      <c r="AG75">
        <v>2000</v>
      </c>
      <c r="AH75">
        <v>2000</v>
      </c>
      <c r="AI75">
        <v>3000</v>
      </c>
      <c r="AJ75">
        <v>3000</v>
      </c>
      <c r="AK75">
        <v>4000</v>
      </c>
      <c r="AL75">
        <v>4000</v>
      </c>
      <c r="AM75">
        <v>5000</v>
      </c>
      <c r="AN75">
        <v>5000</v>
      </c>
    </row>
    <row r="76" spans="2:40" x14ac:dyDescent="0.3">
      <c r="B76" t="s">
        <v>6</v>
      </c>
      <c r="C76">
        <v>1086</v>
      </c>
      <c r="D76">
        <v>1086</v>
      </c>
      <c r="E76">
        <v>2003</v>
      </c>
      <c r="F76">
        <v>2003</v>
      </c>
      <c r="G76">
        <v>10974</v>
      </c>
      <c r="H76">
        <v>10974</v>
      </c>
      <c r="I76">
        <v>5761</v>
      </c>
      <c r="J76">
        <v>5761</v>
      </c>
      <c r="K76">
        <v>21534</v>
      </c>
      <c r="L76">
        <v>21534</v>
      </c>
      <c r="M76">
        <v>9604</v>
      </c>
      <c r="N76">
        <v>9604</v>
      </c>
      <c r="O76">
        <v>36699</v>
      </c>
      <c r="P76">
        <v>36699</v>
      </c>
      <c r="Q76">
        <v>35152</v>
      </c>
      <c r="R76">
        <v>35152</v>
      </c>
      <c r="S76">
        <v>36417</v>
      </c>
      <c r="T76">
        <v>36417</v>
      </c>
      <c r="U76">
        <v>3140</v>
      </c>
      <c r="V76">
        <v>3140</v>
      </c>
      <c r="W76">
        <v>8297</v>
      </c>
      <c r="X76">
        <v>8297</v>
      </c>
      <c r="Y76">
        <v>10879</v>
      </c>
      <c r="Z76">
        <v>10879</v>
      </c>
      <c r="AA76">
        <v>9877</v>
      </c>
      <c r="AB76">
        <v>9877</v>
      </c>
      <c r="AC76">
        <v>7716</v>
      </c>
      <c r="AD76">
        <v>7716</v>
      </c>
      <c r="AE76">
        <v>400727</v>
      </c>
      <c r="AF76">
        <v>400727</v>
      </c>
      <c r="AG76">
        <v>2000</v>
      </c>
      <c r="AH76">
        <v>2000</v>
      </c>
      <c r="AI76">
        <v>3000</v>
      </c>
      <c r="AJ76">
        <v>3000</v>
      </c>
      <c r="AK76">
        <v>4000</v>
      </c>
      <c r="AL76">
        <v>4000</v>
      </c>
      <c r="AM76">
        <v>5000</v>
      </c>
      <c r="AN76">
        <v>5000</v>
      </c>
    </row>
    <row r="77" spans="2:40" x14ac:dyDescent="0.3">
      <c r="B77" t="s">
        <v>7</v>
      </c>
      <c r="C77">
        <v>1.8712968332943301E-2</v>
      </c>
      <c r="D77">
        <v>1.8712968332943301E-2</v>
      </c>
      <c r="E77">
        <v>2.09079790199872E-2</v>
      </c>
      <c r="F77">
        <v>2.09079790199872E-2</v>
      </c>
      <c r="G77">
        <v>3.55936820230424E-3</v>
      </c>
      <c r="H77">
        <v>3.55936820230424E-3</v>
      </c>
      <c r="I77">
        <v>9.3714321632839104E-2</v>
      </c>
      <c r="J77">
        <v>9.3714321632839104E-2</v>
      </c>
      <c r="K77">
        <v>4.8376702439189201E-4</v>
      </c>
      <c r="L77">
        <v>4.8376702439189201E-4</v>
      </c>
      <c r="M77">
        <v>9.2440311469554599E-4</v>
      </c>
      <c r="N77">
        <v>9.2440311469554599E-4</v>
      </c>
      <c r="O77">
        <v>8.1568020619973106E-2</v>
      </c>
      <c r="P77">
        <v>8.1568020619973106E-2</v>
      </c>
      <c r="Q77">
        <v>6.1830283475066002E-4</v>
      </c>
      <c r="R77">
        <v>6.1830283475066002E-4</v>
      </c>
      <c r="S77">
        <v>3.27610610455435E-3</v>
      </c>
      <c r="T77">
        <v>3.27610610455435E-3</v>
      </c>
      <c r="U77">
        <v>5.5089455961702297E-2</v>
      </c>
      <c r="V77">
        <v>5.5089455961702297E-2</v>
      </c>
      <c r="W77">
        <v>1.50622726900785E-3</v>
      </c>
      <c r="X77">
        <v>1.50622726900785E-3</v>
      </c>
      <c r="Y77">
        <v>3.3792232823938402E-4</v>
      </c>
      <c r="Z77">
        <v>3.3792232823938402E-4</v>
      </c>
      <c r="AA77">
        <v>5.3273467559045498E-4</v>
      </c>
      <c r="AB77">
        <v>5.3273467559045498E-4</v>
      </c>
      <c r="AC77">
        <v>4.4454965693740002E-4</v>
      </c>
      <c r="AD77">
        <v>4.4454965693740002E-4</v>
      </c>
      <c r="AE77" s="1">
        <v>1.99302377500994E-5</v>
      </c>
      <c r="AF77" s="1">
        <v>1.99302377500994E-5</v>
      </c>
      <c r="AG77">
        <v>1</v>
      </c>
      <c r="AH77">
        <v>1</v>
      </c>
      <c r="AI77">
        <v>1</v>
      </c>
      <c r="AJ77">
        <v>1</v>
      </c>
      <c r="AK77">
        <v>1</v>
      </c>
      <c r="AL77">
        <v>1</v>
      </c>
      <c r="AM77">
        <v>1</v>
      </c>
      <c r="AN77">
        <v>1</v>
      </c>
    </row>
    <row r="78" spans="2:40" x14ac:dyDescent="0.3">
      <c r="B78" t="s">
        <v>0</v>
      </c>
      <c r="C78">
        <v>4</v>
      </c>
      <c r="D78">
        <v>4</v>
      </c>
      <c r="E78">
        <v>4</v>
      </c>
      <c r="F78">
        <v>4</v>
      </c>
      <c r="G78">
        <v>4</v>
      </c>
      <c r="H78">
        <v>4</v>
      </c>
      <c r="I78">
        <v>4</v>
      </c>
      <c r="J78">
        <v>4</v>
      </c>
      <c r="K78">
        <v>4</v>
      </c>
      <c r="L78">
        <v>4</v>
      </c>
      <c r="M78">
        <v>4</v>
      </c>
      <c r="N78">
        <v>4</v>
      </c>
      <c r="O78">
        <v>4</v>
      </c>
      <c r="P78">
        <v>4</v>
      </c>
      <c r="Q78">
        <v>4</v>
      </c>
      <c r="R78">
        <v>4</v>
      </c>
      <c r="S78">
        <v>4</v>
      </c>
      <c r="T78">
        <v>4</v>
      </c>
      <c r="U78">
        <v>4</v>
      </c>
      <c r="V78">
        <v>4</v>
      </c>
      <c r="W78">
        <v>4</v>
      </c>
      <c r="X78">
        <v>4</v>
      </c>
      <c r="Y78">
        <v>4</v>
      </c>
      <c r="Z78">
        <v>4</v>
      </c>
      <c r="AA78">
        <v>4</v>
      </c>
      <c r="AB78">
        <v>4</v>
      </c>
      <c r="AC78">
        <v>4</v>
      </c>
      <c r="AD78">
        <v>4</v>
      </c>
      <c r="AE78">
        <v>4</v>
      </c>
      <c r="AF78">
        <v>4</v>
      </c>
      <c r="AG78">
        <v>4</v>
      </c>
      <c r="AH78">
        <v>4</v>
      </c>
      <c r="AI78">
        <v>4</v>
      </c>
      <c r="AJ78">
        <v>4</v>
      </c>
      <c r="AK78">
        <v>4</v>
      </c>
      <c r="AL78">
        <v>4</v>
      </c>
      <c r="AM78">
        <v>4</v>
      </c>
      <c r="AN78">
        <v>4</v>
      </c>
    </row>
    <row r="83" spans="2:21" x14ac:dyDescent="0.3">
      <c r="B83" t="s">
        <v>27</v>
      </c>
      <c r="C83" t="s">
        <v>28</v>
      </c>
      <c r="D83" t="s">
        <v>29</v>
      </c>
      <c r="E83" t="s">
        <v>28</v>
      </c>
      <c r="F83" t="s">
        <v>30</v>
      </c>
      <c r="G83" t="s">
        <v>31</v>
      </c>
      <c r="H83" t="s">
        <v>32</v>
      </c>
      <c r="I83" t="s">
        <v>31</v>
      </c>
      <c r="J83" t="s">
        <v>33</v>
      </c>
      <c r="K83" t="s">
        <v>34</v>
      </c>
      <c r="L83" t="s">
        <v>35</v>
      </c>
      <c r="M83" t="s">
        <v>36</v>
      </c>
      <c r="N83" t="s">
        <v>36</v>
      </c>
      <c r="O83" t="s">
        <v>42</v>
      </c>
      <c r="P83" t="s">
        <v>43</v>
      </c>
      <c r="Q83" t="s">
        <v>36</v>
      </c>
      <c r="R83" t="s">
        <v>45</v>
      </c>
      <c r="S83" t="s">
        <v>45</v>
      </c>
      <c r="T83" t="s">
        <v>45</v>
      </c>
      <c r="U83" t="s">
        <v>45</v>
      </c>
    </row>
    <row r="84" spans="2:21" x14ac:dyDescent="0.3">
      <c r="B84" t="s">
        <v>26</v>
      </c>
      <c r="C84" t="s">
        <v>14</v>
      </c>
      <c r="D84" t="s">
        <v>15</v>
      </c>
      <c r="E84" t="s">
        <v>16</v>
      </c>
      <c r="F84" t="s">
        <v>17</v>
      </c>
      <c r="G84" t="s">
        <v>18</v>
      </c>
      <c r="H84" t="s">
        <v>19</v>
      </c>
      <c r="I84" t="s">
        <v>20</v>
      </c>
      <c r="J84" t="s">
        <v>21</v>
      </c>
      <c r="K84" t="s">
        <v>23</v>
      </c>
      <c r="L84" t="s">
        <v>24</v>
      </c>
      <c r="M84" t="s">
        <v>37</v>
      </c>
      <c r="N84" t="s">
        <v>41</v>
      </c>
      <c r="O84" t="s">
        <v>40</v>
      </c>
      <c r="P84" t="s">
        <v>39</v>
      </c>
      <c r="Q84" t="s">
        <v>38</v>
      </c>
      <c r="R84" t="s">
        <v>46</v>
      </c>
      <c r="S84" t="s">
        <v>47</v>
      </c>
      <c r="T84" t="s">
        <v>48</v>
      </c>
      <c r="U84" t="s">
        <v>49</v>
      </c>
    </row>
    <row r="85" spans="2:21" x14ac:dyDescent="0.3">
      <c r="B85" t="s">
        <v>50</v>
      </c>
      <c r="C85">
        <f>C70*100</f>
        <v>99.691889442682367</v>
      </c>
      <c r="D85">
        <f>E70*100</f>
        <v>99.834293003349899</v>
      </c>
      <c r="E85">
        <f>G70*100</f>
        <v>99.839962673509859</v>
      </c>
      <c r="F85">
        <f>I70*100</f>
        <v>93.234265947210076</v>
      </c>
      <c r="G85">
        <f>K70*100</f>
        <v>60.995520056283816</v>
      </c>
      <c r="H85">
        <f>M70*100</f>
        <v>99.295130418465007</v>
      </c>
      <c r="I85">
        <f>O70*100</f>
        <v>82.637764896299927</v>
      </c>
      <c r="J85">
        <f>Q70*100</f>
        <v>99.647650435724998</v>
      </c>
      <c r="K85">
        <f>S70*100</f>
        <v>99.858496374372379</v>
      </c>
      <c r="L85">
        <f>U70*100</f>
        <v>84.260070697400408</v>
      </c>
      <c r="M85">
        <f>W70*100</f>
        <v>59.08244847573031</v>
      </c>
      <c r="N85">
        <f>Y70*100</f>
        <v>51.282692403860572</v>
      </c>
      <c r="O85">
        <f>AA70*100</f>
        <v>25.762444440168558</v>
      </c>
      <c r="P85">
        <f>AC70*100</f>
        <v>69.641440284127412</v>
      </c>
      <c r="Q85">
        <f>AE70*100</f>
        <v>52.490001374810966</v>
      </c>
      <c r="R85">
        <f>AG70*100</f>
        <v>99.996875000000003</v>
      </c>
      <c r="S85">
        <f>AI70*100</f>
        <v>93.733333333333334</v>
      </c>
      <c r="T85">
        <f>AK70*100</f>
        <v>93.75</v>
      </c>
      <c r="U85">
        <f>AM70*100</f>
        <v>93.74</v>
      </c>
    </row>
    <row r="86" spans="2:21" x14ac:dyDescent="0.3">
      <c r="B86" t="s">
        <v>51</v>
      </c>
      <c r="C86">
        <f>D70*100</f>
        <v>99.691889442682367</v>
      </c>
      <c r="D86">
        <f>F70*100</f>
        <v>99.849790780015027</v>
      </c>
      <c r="E86">
        <f>H70*100</f>
        <v>99.839962673509859</v>
      </c>
      <c r="F86">
        <f>J70*100</f>
        <v>94.602573315955937</v>
      </c>
      <c r="G86">
        <f>L70*100</f>
        <v>65.990709031276836</v>
      </c>
      <c r="H86">
        <f>N70*100</f>
        <v>99.295130418465007</v>
      </c>
      <c r="I86">
        <f>P70*100</f>
        <v>82.754921519177927</v>
      </c>
      <c r="J86">
        <f>R70*100</f>
        <v>99.647650435724998</v>
      </c>
      <c r="K86">
        <f>T70*100</f>
        <v>99.858496374372379</v>
      </c>
      <c r="L86">
        <f>V70*100</f>
        <v>86.426651447087409</v>
      </c>
      <c r="M86">
        <f>X70*100</f>
        <v>59.08244847573031</v>
      </c>
      <c r="N86">
        <f>Z70*100</f>
        <v>51.282692403860572</v>
      </c>
      <c r="O86">
        <f>AB70*100</f>
        <v>25.762444440168558</v>
      </c>
      <c r="P86">
        <f>AD70*100</f>
        <v>69.641440284127412</v>
      </c>
      <c r="Q86">
        <f>AF70*100</f>
        <v>52.490001374810966</v>
      </c>
      <c r="R86">
        <f>AH70*100</f>
        <v>99.996875000000003</v>
      </c>
      <c r="S86">
        <f>AJ70*100</f>
        <v>96.259655555555554</v>
      </c>
      <c r="T86">
        <f>AL70*100</f>
        <v>94.941862499999999</v>
      </c>
      <c r="U86">
        <f>AN70*100</f>
        <v>94.375603999999996</v>
      </c>
    </row>
    <row r="87" spans="2:21" x14ac:dyDescent="0.3">
      <c r="B87" t="s">
        <v>52</v>
      </c>
      <c r="C87">
        <f>IFERROR(((C67-D67)/C67)*100, 0)</f>
        <v>0</v>
      </c>
      <c r="D87">
        <f>IFERROR(((E67-F67)/E67)*100, 0)</f>
        <v>9.3525179856115113</v>
      </c>
      <c r="E87">
        <f>IFERROR(((G67-H67)/G67)*100, 0)</f>
        <v>0</v>
      </c>
      <c r="F87">
        <f>IFERROR(((I67-J67)/I67)*100, 0)</f>
        <v>20.224078541509137</v>
      </c>
      <c r="G87">
        <f>IFERROR(((K67-L67)/K67)*100, 0)</f>
        <v>12.806705748163081</v>
      </c>
      <c r="H87">
        <f>IFERROR(((M67-N67)/M67)*100, 0)</f>
        <v>0</v>
      </c>
      <c r="I87">
        <f>IFERROR(((O67-P67)/O67)*100, 0)</f>
        <v>0.67477846128831198</v>
      </c>
      <c r="J87">
        <f>IFERROR(((Q67-R67)/Q67)*100, 0)</f>
        <v>0</v>
      </c>
      <c r="K87">
        <f>IFERROR(((S67-T67)/S67)*100, 0)</f>
        <v>0</v>
      </c>
      <c r="L87">
        <f>IFERROR(((U67-V67)/U67)*100, 0)</f>
        <v>13.76486963844993</v>
      </c>
      <c r="M87">
        <f>IFERROR(((W67-X67)/W67)*100, 0)</f>
        <v>0</v>
      </c>
      <c r="N87">
        <f>IFERROR(((Y67-Z67)/Y67)*100, 0)</f>
        <v>0</v>
      </c>
      <c r="O87">
        <f>IFERROR(((AA67-AB67)/AA67)*100, 0)</f>
        <v>0</v>
      </c>
      <c r="P87">
        <f>IFERROR(((AC67-AD67)/AC67)*100, 0)</f>
        <v>0</v>
      </c>
      <c r="Q87">
        <f>IFERROR(((AE67-AF67)/AE67)*100, 0)</f>
        <v>0</v>
      </c>
      <c r="R87">
        <f>IFERROR(((AG67-AH67)/AG67)*100, 0)</f>
        <v>0</v>
      </c>
      <c r="S87">
        <f>IFERROR(((AI67-AJ67)/AI67)*100, 0)</f>
        <v>40.313652482269504</v>
      </c>
      <c r="T87">
        <f>IFERROR(((AK67-AL67)/AK67)*100, 0)</f>
        <v>19.069800000000001</v>
      </c>
      <c r="U87">
        <f>IFERROR(((AM67-AN67)/AM67)*100, 0)</f>
        <v>10.153418530351438</v>
      </c>
    </row>
  </sheetData>
  <mergeCells count="78">
    <mergeCell ref="AK3:AL3"/>
    <mergeCell ref="AK4:AL4"/>
    <mergeCell ref="AI4:AJ4"/>
    <mergeCell ref="Q4:R4"/>
    <mergeCell ref="S4:T4"/>
    <mergeCell ref="U4:V4"/>
    <mergeCell ref="W4:X4"/>
    <mergeCell ref="Y4:Z4"/>
    <mergeCell ref="AE4:AF4"/>
    <mergeCell ref="AC4:AD4"/>
    <mergeCell ref="AA4:AB4"/>
    <mergeCell ref="AI3:AJ3"/>
    <mergeCell ref="U3:V3"/>
    <mergeCell ref="W3:X3"/>
    <mergeCell ref="O3:P3"/>
    <mergeCell ref="Q3:R3"/>
    <mergeCell ref="S3:T3"/>
    <mergeCell ref="C4:D4"/>
    <mergeCell ref="E4:F4"/>
    <mergeCell ref="G4:H4"/>
    <mergeCell ref="I4:J4"/>
    <mergeCell ref="K4:L4"/>
    <mergeCell ref="AM3:AN3"/>
    <mergeCell ref="AM4:AN4"/>
    <mergeCell ref="C3:D3"/>
    <mergeCell ref="E3:F3"/>
    <mergeCell ref="AG4:AH4"/>
    <mergeCell ref="G3:H3"/>
    <mergeCell ref="I3:J3"/>
    <mergeCell ref="K3:L3"/>
    <mergeCell ref="M3:N3"/>
    <mergeCell ref="AG3:AH3"/>
    <mergeCell ref="Y3:Z3"/>
    <mergeCell ref="AA3:AB3"/>
    <mergeCell ref="AC3:AD3"/>
    <mergeCell ref="AE3:AF3"/>
    <mergeCell ref="M4:N4"/>
    <mergeCell ref="O4:P4"/>
    <mergeCell ref="B2:AN2"/>
    <mergeCell ref="B63:AN63"/>
    <mergeCell ref="C64:D64"/>
    <mergeCell ref="E64:F64"/>
    <mergeCell ref="G64:H64"/>
    <mergeCell ref="I64:J64"/>
    <mergeCell ref="K64:L64"/>
    <mergeCell ref="M64:N64"/>
    <mergeCell ref="O64:P64"/>
    <mergeCell ref="Q64:R64"/>
    <mergeCell ref="S64:T64"/>
    <mergeCell ref="U64:V64"/>
    <mergeCell ref="W64:X64"/>
    <mergeCell ref="Y64:Z64"/>
    <mergeCell ref="AA64:AB64"/>
    <mergeCell ref="AC64:AD64"/>
    <mergeCell ref="AE64:AF64"/>
    <mergeCell ref="AG64:AH64"/>
    <mergeCell ref="AI64:AJ64"/>
    <mergeCell ref="AK64:AL64"/>
    <mergeCell ref="AM64:AN64"/>
    <mergeCell ref="C65:D65"/>
    <mergeCell ref="E65:F65"/>
    <mergeCell ref="G65:H65"/>
    <mergeCell ref="I65:J65"/>
    <mergeCell ref="K65:L65"/>
    <mergeCell ref="M65:N65"/>
    <mergeCell ref="O65:P65"/>
    <mergeCell ref="Q65:R65"/>
    <mergeCell ref="S65:T65"/>
    <mergeCell ref="U65:V65"/>
    <mergeCell ref="AG65:AH65"/>
    <mergeCell ref="AI65:AJ65"/>
    <mergeCell ref="AK65:AL65"/>
    <mergeCell ref="AM65:AN65"/>
    <mergeCell ref="W65:X65"/>
    <mergeCell ref="Y65:Z65"/>
    <mergeCell ref="AA65:AB65"/>
    <mergeCell ref="AC65:AD65"/>
    <mergeCell ref="AE65:AF65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FDD9D-FDB3-41CB-A695-1350C2A9CE69}">
  <dimension ref="A2:AR308"/>
  <sheetViews>
    <sheetView tabSelected="1" topLeftCell="A244" zoomScale="37" zoomScaleNormal="108" workbookViewId="0">
      <selection activeCell="U313" sqref="U313"/>
    </sheetView>
  </sheetViews>
  <sheetFormatPr defaultRowHeight="14.4" x14ac:dyDescent="0.3"/>
  <cols>
    <col min="4" max="5" width="12.109375" customWidth="1"/>
    <col min="6" max="6" width="21.109375" customWidth="1"/>
  </cols>
  <sheetData>
    <row r="2" spans="6:44" x14ac:dyDescent="0.3">
      <c r="F2" s="5" t="s">
        <v>55</v>
      </c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</row>
    <row r="3" spans="6:44" x14ac:dyDescent="0.3">
      <c r="F3" t="s">
        <v>27</v>
      </c>
      <c r="G3" s="4" t="s">
        <v>28</v>
      </c>
      <c r="H3" s="4"/>
      <c r="I3" s="4" t="s">
        <v>29</v>
      </c>
      <c r="J3" s="4"/>
      <c r="K3" s="4" t="s">
        <v>28</v>
      </c>
      <c r="L3" s="4"/>
      <c r="M3" s="4" t="s">
        <v>30</v>
      </c>
      <c r="N3" s="4"/>
      <c r="O3" s="4" t="s">
        <v>31</v>
      </c>
      <c r="P3" s="4"/>
      <c r="Q3" s="4" t="s">
        <v>32</v>
      </c>
      <c r="R3" s="4"/>
      <c r="S3" s="4" t="s">
        <v>31</v>
      </c>
      <c r="T3" s="4"/>
      <c r="U3" s="4" t="s">
        <v>33</v>
      </c>
      <c r="V3" s="4"/>
      <c r="W3" s="4" t="s">
        <v>34</v>
      </c>
      <c r="X3" s="4"/>
      <c r="Y3" s="4" t="s">
        <v>35</v>
      </c>
      <c r="Z3" s="4"/>
      <c r="AA3" s="4" t="s">
        <v>36</v>
      </c>
      <c r="AB3" s="4"/>
      <c r="AC3" s="4" t="s">
        <v>36</v>
      </c>
      <c r="AD3" s="4"/>
      <c r="AE3" s="4" t="s">
        <v>42</v>
      </c>
      <c r="AF3" s="4"/>
      <c r="AG3" s="4" t="s">
        <v>43</v>
      </c>
      <c r="AH3" s="4"/>
      <c r="AI3" s="4" t="s">
        <v>36</v>
      </c>
      <c r="AJ3" s="4"/>
      <c r="AK3" s="4" t="s">
        <v>76</v>
      </c>
      <c r="AL3" s="4"/>
      <c r="AM3" s="4" t="s">
        <v>45</v>
      </c>
      <c r="AN3" s="4"/>
      <c r="AO3" s="4" t="s">
        <v>45</v>
      </c>
      <c r="AP3" s="4"/>
      <c r="AQ3" s="4" t="s">
        <v>45</v>
      </c>
      <c r="AR3" s="4"/>
    </row>
    <row r="4" spans="6:44" x14ac:dyDescent="0.3">
      <c r="F4" t="s">
        <v>26</v>
      </c>
      <c r="G4" s="4" t="s">
        <v>14</v>
      </c>
      <c r="H4" s="4"/>
      <c r="I4" s="4" t="s">
        <v>15</v>
      </c>
      <c r="J4" s="4"/>
      <c r="K4" s="4" t="s">
        <v>16</v>
      </c>
      <c r="L4" s="4"/>
      <c r="M4" s="4" t="s">
        <v>17</v>
      </c>
      <c r="N4" s="4"/>
      <c r="O4" s="4" t="s">
        <v>18</v>
      </c>
      <c r="P4" s="4"/>
      <c r="Q4" s="4" t="s">
        <v>19</v>
      </c>
      <c r="R4" s="4"/>
      <c r="S4" s="4" t="s">
        <v>20</v>
      </c>
      <c r="T4" s="4"/>
      <c r="U4" s="4" t="s">
        <v>21</v>
      </c>
      <c r="V4" s="4"/>
      <c r="W4" s="4" t="s">
        <v>23</v>
      </c>
      <c r="X4" s="4"/>
      <c r="Y4" s="4" t="s">
        <v>24</v>
      </c>
      <c r="Z4" s="4"/>
      <c r="AA4" s="4" t="s">
        <v>37</v>
      </c>
      <c r="AB4" s="4"/>
      <c r="AC4" s="4" t="s">
        <v>41</v>
      </c>
      <c r="AD4" s="4"/>
      <c r="AE4" s="4" t="s">
        <v>40</v>
      </c>
      <c r="AF4" s="4"/>
      <c r="AG4" s="4" t="s">
        <v>39</v>
      </c>
      <c r="AH4" s="4"/>
      <c r="AI4" s="4" t="s">
        <v>38</v>
      </c>
      <c r="AJ4" s="4"/>
      <c r="AK4" s="4" t="s">
        <v>75</v>
      </c>
      <c r="AL4" s="4"/>
      <c r="AM4" s="4" t="s">
        <v>47</v>
      </c>
      <c r="AN4" s="4"/>
      <c r="AO4" s="4" t="s">
        <v>48</v>
      </c>
      <c r="AP4" s="4"/>
      <c r="AQ4" s="4" t="s">
        <v>49</v>
      </c>
      <c r="AR4" s="4"/>
    </row>
    <row r="5" spans="6:44" x14ac:dyDescent="0.3">
      <c r="F5" t="s">
        <v>25</v>
      </c>
      <c r="G5" t="s">
        <v>1</v>
      </c>
      <c r="H5" t="s">
        <v>13</v>
      </c>
      <c r="I5" t="s">
        <v>1</v>
      </c>
      <c r="J5" t="s">
        <v>13</v>
      </c>
      <c r="K5" t="s">
        <v>1</v>
      </c>
      <c r="L5" t="s">
        <v>13</v>
      </c>
      <c r="M5" t="s">
        <v>1</v>
      </c>
      <c r="N5" t="s">
        <v>13</v>
      </c>
      <c r="O5" t="s">
        <v>1</v>
      </c>
      <c r="P5" t="s">
        <v>13</v>
      </c>
      <c r="Q5" t="s">
        <v>1</v>
      </c>
      <c r="R5" t="s">
        <v>13</v>
      </c>
      <c r="S5" t="s">
        <v>1</v>
      </c>
      <c r="T5" t="s">
        <v>13</v>
      </c>
      <c r="U5" t="s">
        <v>1</v>
      </c>
      <c r="V5" t="s">
        <v>13</v>
      </c>
      <c r="W5" t="s">
        <v>1</v>
      </c>
      <c r="X5" t="s">
        <v>13</v>
      </c>
      <c r="Y5" t="s">
        <v>1</v>
      </c>
      <c r="Z5" t="s">
        <v>13</v>
      </c>
      <c r="AA5" t="s">
        <v>1</v>
      </c>
      <c r="AB5" t="s">
        <v>13</v>
      </c>
      <c r="AC5" t="s">
        <v>1</v>
      </c>
      <c r="AD5" t="s">
        <v>13</v>
      </c>
      <c r="AE5" t="s">
        <v>1</v>
      </c>
      <c r="AF5" t="s">
        <v>13</v>
      </c>
      <c r="AG5" t="s">
        <v>1</v>
      </c>
      <c r="AH5" t="s">
        <v>13</v>
      </c>
      <c r="AI5" t="s">
        <v>1</v>
      </c>
      <c r="AJ5" t="s">
        <v>13</v>
      </c>
      <c r="AK5" t="s">
        <v>1</v>
      </c>
      <c r="AL5" t="s">
        <v>13</v>
      </c>
      <c r="AM5" t="s">
        <v>22</v>
      </c>
      <c r="AN5" t="s">
        <v>13</v>
      </c>
      <c r="AO5" t="s">
        <v>22</v>
      </c>
      <c r="AP5" t="s">
        <v>13</v>
      </c>
      <c r="AQ5" t="s">
        <v>22</v>
      </c>
      <c r="AR5" t="s">
        <v>13</v>
      </c>
    </row>
    <row r="6" spans="6:44" x14ac:dyDescent="0.3">
      <c r="F6" t="s">
        <v>4</v>
      </c>
      <c r="G6">
        <v>68</v>
      </c>
      <c r="H6">
        <v>68</v>
      </c>
      <c r="I6">
        <v>126</v>
      </c>
      <c r="J6">
        <v>126</v>
      </c>
      <c r="K6">
        <v>686</v>
      </c>
      <c r="L6">
        <v>887</v>
      </c>
      <c r="M6">
        <v>21479</v>
      </c>
      <c r="N6">
        <v>599</v>
      </c>
      <c r="O6">
        <v>14053</v>
      </c>
      <c r="P6">
        <v>6282</v>
      </c>
      <c r="Q6">
        <v>601</v>
      </c>
      <c r="R6">
        <v>601</v>
      </c>
      <c r="S6">
        <v>31185</v>
      </c>
      <c r="T6">
        <v>30673</v>
      </c>
      <c r="U6">
        <v>2625</v>
      </c>
      <c r="V6">
        <v>2513</v>
      </c>
      <c r="W6">
        <v>5601</v>
      </c>
      <c r="X6">
        <v>4664</v>
      </c>
      <c r="Y6">
        <v>886</v>
      </c>
      <c r="Z6">
        <v>197</v>
      </c>
      <c r="AA6">
        <v>10344</v>
      </c>
      <c r="AB6">
        <v>585</v>
      </c>
      <c r="AC6">
        <v>6720</v>
      </c>
      <c r="AD6">
        <v>3096</v>
      </c>
      <c r="AE6">
        <v>14891</v>
      </c>
      <c r="AF6">
        <v>8205</v>
      </c>
      <c r="AG6">
        <v>3353</v>
      </c>
      <c r="AH6">
        <v>478</v>
      </c>
      <c r="AI6">
        <v>1728168</v>
      </c>
      <c r="AJ6">
        <v>1736858</v>
      </c>
      <c r="AK6">
        <v>2379</v>
      </c>
      <c r="AL6">
        <v>1246</v>
      </c>
      <c r="AM6" t="s">
        <v>57</v>
      </c>
      <c r="AN6" t="s">
        <v>57</v>
      </c>
      <c r="AO6" t="s">
        <v>57</v>
      </c>
      <c r="AP6" t="s">
        <v>57</v>
      </c>
      <c r="AQ6" t="s">
        <v>57</v>
      </c>
      <c r="AR6" t="s">
        <v>57</v>
      </c>
    </row>
    <row r="7" spans="6:44" x14ac:dyDescent="0.3">
      <c r="F7" t="s">
        <v>59</v>
      </c>
      <c r="G7">
        <v>22002</v>
      </c>
      <c r="H7">
        <v>22002</v>
      </c>
      <c r="I7">
        <v>132229</v>
      </c>
      <c r="J7">
        <v>133961</v>
      </c>
      <c r="K7">
        <v>666084</v>
      </c>
      <c r="L7">
        <v>685356</v>
      </c>
      <c r="M7">
        <v>2842094</v>
      </c>
      <c r="N7">
        <v>4029852</v>
      </c>
      <c r="O7">
        <v>83772</v>
      </c>
      <c r="P7">
        <v>108404</v>
      </c>
      <c r="Q7">
        <v>124482</v>
      </c>
      <c r="R7">
        <v>124893</v>
      </c>
      <c r="S7">
        <v>183180</v>
      </c>
      <c r="T7">
        <v>210106</v>
      </c>
      <c r="U7">
        <v>921505</v>
      </c>
      <c r="V7">
        <v>1186549</v>
      </c>
      <c r="W7">
        <v>5720932</v>
      </c>
      <c r="X7">
        <v>7035724</v>
      </c>
      <c r="Y7">
        <v>752425</v>
      </c>
      <c r="Z7">
        <v>786524</v>
      </c>
      <c r="AA7">
        <v>94815</v>
      </c>
      <c r="AB7">
        <v>119849</v>
      </c>
      <c r="AC7">
        <v>35321</v>
      </c>
      <c r="AD7">
        <v>42006</v>
      </c>
      <c r="AE7">
        <v>37093</v>
      </c>
      <c r="AF7">
        <v>44506</v>
      </c>
      <c r="AG7">
        <v>23547</v>
      </c>
      <c r="AH7">
        <v>29100</v>
      </c>
      <c r="AI7">
        <v>1476785</v>
      </c>
      <c r="AJ7">
        <v>1685644</v>
      </c>
      <c r="AK7">
        <v>603013</v>
      </c>
      <c r="AL7">
        <v>697577</v>
      </c>
      <c r="AM7" t="s">
        <v>57</v>
      </c>
      <c r="AN7" t="s">
        <v>57</v>
      </c>
      <c r="AO7" t="s">
        <v>57</v>
      </c>
      <c r="AP7" t="s">
        <v>57</v>
      </c>
      <c r="AQ7" t="s">
        <v>57</v>
      </c>
      <c r="AR7" t="s">
        <v>57</v>
      </c>
    </row>
    <row r="8" spans="6:44" x14ac:dyDescent="0.3">
      <c r="F8" t="s">
        <v>3</v>
      </c>
      <c r="G8">
        <f t="shared" ref="G8:AR8" si="0">G6+G7</f>
        <v>22070</v>
      </c>
      <c r="H8">
        <f t="shared" si="0"/>
        <v>22070</v>
      </c>
      <c r="I8">
        <f t="shared" si="0"/>
        <v>132355</v>
      </c>
      <c r="J8">
        <f t="shared" si="0"/>
        <v>134087</v>
      </c>
      <c r="K8">
        <f t="shared" si="0"/>
        <v>666770</v>
      </c>
      <c r="L8">
        <f t="shared" si="0"/>
        <v>686243</v>
      </c>
      <c r="M8">
        <f t="shared" si="0"/>
        <v>2863573</v>
      </c>
      <c r="N8">
        <f t="shared" si="0"/>
        <v>4030451</v>
      </c>
      <c r="O8">
        <f t="shared" si="0"/>
        <v>97825</v>
      </c>
      <c r="P8">
        <f t="shared" si="0"/>
        <v>114686</v>
      </c>
      <c r="Q8">
        <f t="shared" si="0"/>
        <v>125083</v>
      </c>
      <c r="R8">
        <f t="shared" si="0"/>
        <v>125494</v>
      </c>
      <c r="S8">
        <f t="shared" si="0"/>
        <v>214365</v>
      </c>
      <c r="T8">
        <f t="shared" si="0"/>
        <v>240779</v>
      </c>
      <c r="U8">
        <f t="shared" si="0"/>
        <v>924130</v>
      </c>
      <c r="V8">
        <f t="shared" si="0"/>
        <v>1189062</v>
      </c>
      <c r="W8">
        <f t="shared" si="0"/>
        <v>5726533</v>
      </c>
      <c r="X8">
        <f t="shared" si="0"/>
        <v>7040388</v>
      </c>
      <c r="Y8">
        <f t="shared" si="0"/>
        <v>753311</v>
      </c>
      <c r="Z8">
        <f t="shared" si="0"/>
        <v>786721</v>
      </c>
      <c r="AA8">
        <f t="shared" si="0"/>
        <v>105159</v>
      </c>
      <c r="AB8">
        <f t="shared" si="0"/>
        <v>120434</v>
      </c>
      <c r="AC8">
        <f t="shared" si="0"/>
        <v>42041</v>
      </c>
      <c r="AD8">
        <f t="shared" si="0"/>
        <v>45102</v>
      </c>
      <c r="AE8">
        <f t="shared" si="0"/>
        <v>51984</v>
      </c>
      <c r="AF8">
        <f t="shared" si="0"/>
        <v>52711</v>
      </c>
      <c r="AG8">
        <f t="shared" si="0"/>
        <v>26900</v>
      </c>
      <c r="AH8">
        <f t="shared" si="0"/>
        <v>29578</v>
      </c>
      <c r="AI8">
        <f t="shared" si="0"/>
        <v>3204953</v>
      </c>
      <c r="AJ8">
        <f t="shared" si="0"/>
        <v>3422502</v>
      </c>
      <c r="AK8">
        <f t="shared" ref="AK8:AL8" si="1">AK6+AK7</f>
        <v>605392</v>
      </c>
      <c r="AL8">
        <f t="shared" si="1"/>
        <v>698823</v>
      </c>
      <c r="AM8" t="e">
        <f t="shared" si="0"/>
        <v>#VALUE!</v>
      </c>
      <c r="AN8" t="e">
        <f t="shared" si="0"/>
        <v>#VALUE!</v>
      </c>
      <c r="AO8" t="e">
        <f t="shared" si="0"/>
        <v>#VALUE!</v>
      </c>
      <c r="AP8" t="e">
        <f t="shared" si="0"/>
        <v>#VALUE!</v>
      </c>
      <c r="AQ8" t="e">
        <f t="shared" si="0"/>
        <v>#VALUE!</v>
      </c>
      <c r="AR8" t="e">
        <f t="shared" si="0"/>
        <v>#VALUE!</v>
      </c>
    </row>
    <row r="9" spans="6:44" x14ac:dyDescent="0.3">
      <c r="F9" t="s">
        <v>60</v>
      </c>
      <c r="G9">
        <f t="shared" ref="G9:AR9" si="2">IFERROR(G7/G8, 0)</f>
        <v>0.99691889442682369</v>
      </c>
      <c r="H9">
        <f t="shared" si="2"/>
        <v>0.99691889442682369</v>
      </c>
      <c r="I9">
        <f t="shared" si="2"/>
        <v>0.99904801480865857</v>
      </c>
      <c r="J9">
        <f t="shared" si="2"/>
        <v>0.99906031158874464</v>
      </c>
      <c r="K9">
        <f t="shared" si="2"/>
        <v>0.99897115947028214</v>
      </c>
      <c r="L9">
        <f t="shared" si="2"/>
        <v>0.99870745493943103</v>
      </c>
      <c r="M9">
        <f t="shared" si="2"/>
        <v>0.99249923085599701</v>
      </c>
      <c r="N9">
        <f t="shared" si="2"/>
        <v>0.9998513813962755</v>
      </c>
      <c r="O9">
        <f t="shared" si="2"/>
        <v>0.85634551495016609</v>
      </c>
      <c r="P9">
        <f t="shared" si="2"/>
        <v>0.94522435170814223</v>
      </c>
      <c r="Q9">
        <f t="shared" si="2"/>
        <v>0.99519519039357862</v>
      </c>
      <c r="R9">
        <f t="shared" si="2"/>
        <v>0.99521092641879294</v>
      </c>
      <c r="S9">
        <f t="shared" si="2"/>
        <v>0.85452382618431177</v>
      </c>
      <c r="T9">
        <f t="shared" si="2"/>
        <v>0.87260932224155763</v>
      </c>
      <c r="U9">
        <f t="shared" si="2"/>
        <v>0.99715949054786668</v>
      </c>
      <c r="V9">
        <f t="shared" si="2"/>
        <v>0.99788656941353771</v>
      </c>
      <c r="W9">
        <f t="shared" si="2"/>
        <v>0.99902192129164369</v>
      </c>
      <c r="X9">
        <f t="shared" si="2"/>
        <v>0.99933753651077184</v>
      </c>
      <c r="Y9">
        <f t="shared" si="2"/>
        <v>0.99882385893741099</v>
      </c>
      <c r="Z9">
        <f t="shared" si="2"/>
        <v>0.99974959356620707</v>
      </c>
      <c r="AA9">
        <f t="shared" si="2"/>
        <v>0.90163466750349475</v>
      </c>
      <c r="AB9">
        <f t="shared" si="2"/>
        <v>0.99514256771343645</v>
      </c>
      <c r="AC9">
        <f t="shared" si="2"/>
        <v>0.84015603815323137</v>
      </c>
      <c r="AD9">
        <f t="shared" si="2"/>
        <v>0.93135559398696288</v>
      </c>
      <c r="AE9">
        <f t="shared" si="2"/>
        <v>0.71354647583871955</v>
      </c>
      <c r="AF9">
        <f t="shared" si="2"/>
        <v>0.84433989110432361</v>
      </c>
      <c r="AG9">
        <f t="shared" si="2"/>
        <v>0.87535315985130113</v>
      </c>
      <c r="AH9">
        <f t="shared" si="2"/>
        <v>0.98383934005003715</v>
      </c>
      <c r="AI9">
        <f t="shared" si="2"/>
        <v>0.46078210819316229</v>
      </c>
      <c r="AJ9">
        <f t="shared" si="2"/>
        <v>0.4925180467389062</v>
      </c>
      <c r="AK9">
        <f t="shared" ref="AK9:AL9" si="3">IFERROR(AK7/AK8, 0)</f>
        <v>0.99607031477125563</v>
      </c>
      <c r="AL9">
        <f t="shared" si="3"/>
        <v>0.9982170020162473</v>
      </c>
      <c r="AM9">
        <f t="shared" si="2"/>
        <v>0</v>
      </c>
      <c r="AN9">
        <f t="shared" si="2"/>
        <v>0</v>
      </c>
      <c r="AO9">
        <f t="shared" si="2"/>
        <v>0</v>
      </c>
      <c r="AP9">
        <f t="shared" si="2"/>
        <v>0</v>
      </c>
      <c r="AQ9">
        <f t="shared" si="2"/>
        <v>0</v>
      </c>
      <c r="AR9">
        <f t="shared" si="2"/>
        <v>0</v>
      </c>
    </row>
    <row r="10" spans="6:44" x14ac:dyDescent="0.3">
      <c r="F10" t="s">
        <v>61</v>
      </c>
      <c r="G10">
        <f t="shared" ref="G10:AR10" si="4">IFERROR(G6/G8, 0)</f>
        <v>3.0811055731762575E-3</v>
      </c>
      <c r="H10">
        <f t="shared" si="4"/>
        <v>3.0811055731762575E-3</v>
      </c>
      <c r="I10">
        <f t="shared" si="4"/>
        <v>9.5198519134146798E-4</v>
      </c>
      <c r="J10">
        <f t="shared" si="4"/>
        <v>9.3968841125537897E-4</v>
      </c>
      <c r="K10">
        <f t="shared" si="4"/>
        <v>1.0288405297178937E-3</v>
      </c>
      <c r="L10">
        <f t="shared" si="4"/>
        <v>1.2925450605689238E-3</v>
      </c>
      <c r="M10">
        <f t="shared" si="4"/>
        <v>7.5007691440029641E-3</v>
      </c>
      <c r="N10">
        <f t="shared" si="4"/>
        <v>1.4861860372449633E-4</v>
      </c>
      <c r="O10">
        <f t="shared" si="4"/>
        <v>0.14365448504983389</v>
      </c>
      <c r="P10">
        <f t="shared" si="4"/>
        <v>5.477564829185777E-2</v>
      </c>
      <c r="Q10">
        <f t="shared" si="4"/>
        <v>4.8048096064213361E-3</v>
      </c>
      <c r="R10">
        <f t="shared" si="4"/>
        <v>4.7890735812070699E-3</v>
      </c>
      <c r="S10">
        <f t="shared" si="4"/>
        <v>0.1454761738156882</v>
      </c>
      <c r="T10">
        <f t="shared" si="4"/>
        <v>0.1273906777584424</v>
      </c>
      <c r="U10">
        <f t="shared" si="4"/>
        <v>2.8405094521333578E-3</v>
      </c>
      <c r="V10">
        <f t="shared" si="4"/>
        <v>2.1134305864622701E-3</v>
      </c>
      <c r="W10">
        <f t="shared" si="4"/>
        <v>9.780787083563476E-4</v>
      </c>
      <c r="X10">
        <f t="shared" si="4"/>
        <v>6.6246348922815047E-4</v>
      </c>
      <c r="Y10">
        <f t="shared" si="4"/>
        <v>1.1761410625890237E-3</v>
      </c>
      <c r="Z10">
        <f t="shared" si="4"/>
        <v>2.5040643379292026E-4</v>
      </c>
      <c r="AA10">
        <f t="shared" si="4"/>
        <v>9.8365332496505295E-2</v>
      </c>
      <c r="AB10">
        <f t="shared" si="4"/>
        <v>4.857432286563595E-3</v>
      </c>
      <c r="AC10">
        <f t="shared" si="4"/>
        <v>0.15984396184676863</v>
      </c>
      <c r="AD10">
        <f t="shared" si="4"/>
        <v>6.8644406013037118E-2</v>
      </c>
      <c r="AE10">
        <f t="shared" si="4"/>
        <v>0.28645352416128039</v>
      </c>
      <c r="AF10">
        <f t="shared" si="4"/>
        <v>0.15566010889567641</v>
      </c>
      <c r="AG10">
        <f t="shared" si="4"/>
        <v>0.12464684014869888</v>
      </c>
      <c r="AH10">
        <f t="shared" si="4"/>
        <v>1.6160659949962811E-2</v>
      </c>
      <c r="AI10">
        <f t="shared" si="4"/>
        <v>0.53921789180683777</v>
      </c>
      <c r="AJ10">
        <f t="shared" si="4"/>
        <v>0.5074819532610938</v>
      </c>
      <c r="AK10">
        <f t="shared" ref="AK10:AL10" si="5">IFERROR(AK6/AK8, 0)</f>
        <v>3.9296852287443512E-3</v>
      </c>
      <c r="AL10">
        <f t="shared" si="5"/>
        <v>1.7829979837526812E-3</v>
      </c>
      <c r="AM10">
        <f t="shared" si="4"/>
        <v>0</v>
      </c>
      <c r="AN10">
        <f t="shared" si="4"/>
        <v>0</v>
      </c>
      <c r="AO10">
        <f t="shared" si="4"/>
        <v>0</v>
      </c>
      <c r="AP10">
        <f t="shared" si="4"/>
        <v>0</v>
      </c>
      <c r="AQ10">
        <f t="shared" si="4"/>
        <v>0</v>
      </c>
      <c r="AR10">
        <f t="shared" si="4"/>
        <v>0</v>
      </c>
    </row>
    <row r="11" spans="6:44" x14ac:dyDescent="0.3">
      <c r="F11" t="s">
        <v>58</v>
      </c>
      <c r="G11">
        <v>128</v>
      </c>
      <c r="H11">
        <v>128</v>
      </c>
      <c r="I11">
        <v>128</v>
      </c>
      <c r="J11">
        <v>128</v>
      </c>
      <c r="K11">
        <v>128</v>
      </c>
      <c r="L11">
        <v>128</v>
      </c>
      <c r="M11">
        <v>128</v>
      </c>
      <c r="N11">
        <v>128</v>
      </c>
      <c r="O11">
        <v>128</v>
      </c>
      <c r="P11">
        <v>128</v>
      </c>
      <c r="Q11">
        <v>128</v>
      </c>
      <c r="R11">
        <v>128</v>
      </c>
      <c r="S11">
        <v>128</v>
      </c>
      <c r="T11">
        <v>128</v>
      </c>
      <c r="U11">
        <v>128</v>
      </c>
      <c r="V11">
        <v>128</v>
      </c>
      <c r="W11">
        <v>128</v>
      </c>
      <c r="X11">
        <v>128</v>
      </c>
      <c r="Y11">
        <v>128</v>
      </c>
      <c r="Z11">
        <v>128</v>
      </c>
      <c r="AA11">
        <v>128</v>
      </c>
      <c r="AB11">
        <v>128</v>
      </c>
      <c r="AC11">
        <v>128</v>
      </c>
      <c r="AD11">
        <v>128</v>
      </c>
      <c r="AE11">
        <v>128</v>
      </c>
      <c r="AF11">
        <v>128</v>
      </c>
      <c r="AG11">
        <v>128</v>
      </c>
      <c r="AH11">
        <v>128</v>
      </c>
      <c r="AI11">
        <v>128</v>
      </c>
      <c r="AJ11">
        <v>128</v>
      </c>
      <c r="AK11">
        <v>128</v>
      </c>
      <c r="AL11">
        <v>128</v>
      </c>
      <c r="AM11">
        <v>128</v>
      </c>
      <c r="AN11">
        <v>128</v>
      </c>
      <c r="AO11">
        <v>128</v>
      </c>
      <c r="AP11">
        <v>128</v>
      </c>
      <c r="AQ11">
        <v>128</v>
      </c>
      <c r="AR11">
        <v>128</v>
      </c>
    </row>
    <row r="12" spans="6:44" x14ac:dyDescent="0.3">
      <c r="F12" t="s">
        <v>9</v>
      </c>
      <c r="G12">
        <v>68</v>
      </c>
      <c r="H12">
        <v>68</v>
      </c>
      <c r="I12">
        <v>126</v>
      </c>
      <c r="J12">
        <v>126</v>
      </c>
      <c r="K12">
        <v>686</v>
      </c>
      <c r="L12">
        <v>686</v>
      </c>
      <c r="M12">
        <v>361</v>
      </c>
      <c r="N12">
        <v>361</v>
      </c>
      <c r="O12">
        <v>1346</v>
      </c>
      <c r="P12">
        <v>1346</v>
      </c>
      <c r="Q12">
        <v>601</v>
      </c>
      <c r="R12">
        <v>601</v>
      </c>
      <c r="S12">
        <v>2294</v>
      </c>
      <c r="T12">
        <v>2294</v>
      </c>
      <c r="U12">
        <v>2197</v>
      </c>
      <c r="V12">
        <v>2197</v>
      </c>
      <c r="W12">
        <v>2277</v>
      </c>
      <c r="X12">
        <v>2277</v>
      </c>
      <c r="Y12">
        <v>197</v>
      </c>
      <c r="Z12">
        <v>197</v>
      </c>
      <c r="AA12">
        <v>506</v>
      </c>
      <c r="AB12">
        <v>506</v>
      </c>
      <c r="AC12">
        <v>680</v>
      </c>
      <c r="AD12">
        <v>680</v>
      </c>
      <c r="AE12">
        <v>618</v>
      </c>
      <c r="AF12">
        <v>618</v>
      </c>
      <c r="AG12">
        <v>478</v>
      </c>
      <c r="AH12">
        <v>478</v>
      </c>
      <c r="AI12" t="s">
        <v>44</v>
      </c>
      <c r="AJ12" t="s">
        <v>44</v>
      </c>
      <c r="AK12">
        <v>721</v>
      </c>
      <c r="AL12">
        <v>721</v>
      </c>
      <c r="AM12">
        <v>188</v>
      </c>
      <c r="AN12">
        <v>188</v>
      </c>
      <c r="AO12">
        <v>250</v>
      </c>
      <c r="AP12">
        <v>250</v>
      </c>
      <c r="AQ12">
        <v>313</v>
      </c>
      <c r="AR12">
        <v>313</v>
      </c>
    </row>
    <row r="13" spans="6:44" x14ac:dyDescent="0.3">
      <c r="F13" t="s">
        <v>8</v>
      </c>
      <c r="G13">
        <f t="shared" ref="G13:AR13" si="6">IFERROR(G12/G6, 0)</f>
        <v>1</v>
      </c>
      <c r="H13">
        <f t="shared" si="6"/>
        <v>1</v>
      </c>
      <c r="I13">
        <f t="shared" si="6"/>
        <v>1</v>
      </c>
      <c r="J13">
        <f t="shared" si="6"/>
        <v>1</v>
      </c>
      <c r="K13">
        <f t="shared" si="6"/>
        <v>1</v>
      </c>
      <c r="L13">
        <f t="shared" si="6"/>
        <v>0.77339346110484786</v>
      </c>
      <c r="M13">
        <f t="shared" si="6"/>
        <v>1.6807113925229294E-2</v>
      </c>
      <c r="N13">
        <f t="shared" si="6"/>
        <v>0.60267111853088484</v>
      </c>
      <c r="O13">
        <f t="shared" si="6"/>
        <v>9.5780260442610121E-2</v>
      </c>
      <c r="P13">
        <f t="shared" si="6"/>
        <v>0.2142629735752945</v>
      </c>
      <c r="Q13">
        <f t="shared" si="6"/>
        <v>1</v>
      </c>
      <c r="R13">
        <f t="shared" si="6"/>
        <v>1</v>
      </c>
      <c r="S13">
        <f t="shared" si="6"/>
        <v>7.3561006894340225E-2</v>
      </c>
      <c r="T13">
        <f t="shared" si="6"/>
        <v>7.478890229191798E-2</v>
      </c>
      <c r="U13">
        <f t="shared" si="6"/>
        <v>0.836952380952381</v>
      </c>
      <c r="V13">
        <f t="shared" si="6"/>
        <v>0.87425387982491043</v>
      </c>
      <c r="W13">
        <f t="shared" si="6"/>
        <v>0.40653454740224959</v>
      </c>
      <c r="X13">
        <f t="shared" si="6"/>
        <v>0.4882075471698113</v>
      </c>
      <c r="Y13">
        <f t="shared" si="6"/>
        <v>0.22234762979683972</v>
      </c>
      <c r="Z13">
        <f t="shared" si="6"/>
        <v>1</v>
      </c>
      <c r="AA13">
        <f t="shared" si="6"/>
        <v>4.8917246713070378E-2</v>
      </c>
      <c r="AB13">
        <f t="shared" si="6"/>
        <v>0.86495726495726499</v>
      </c>
      <c r="AC13">
        <f t="shared" si="6"/>
        <v>0.10119047619047619</v>
      </c>
      <c r="AD13">
        <f t="shared" si="6"/>
        <v>0.21963824289405684</v>
      </c>
      <c r="AE13">
        <f t="shared" si="6"/>
        <v>4.150157813444362E-2</v>
      </c>
      <c r="AF13">
        <f t="shared" si="6"/>
        <v>7.5319926873857398E-2</v>
      </c>
      <c r="AG13">
        <f t="shared" si="6"/>
        <v>0.14255890247539516</v>
      </c>
      <c r="AH13">
        <f t="shared" si="6"/>
        <v>1</v>
      </c>
      <c r="AI13">
        <f t="shared" si="6"/>
        <v>0</v>
      </c>
      <c r="AJ13">
        <f t="shared" si="6"/>
        <v>0</v>
      </c>
      <c r="AK13">
        <f t="shared" ref="AK13:AL13" si="7">IFERROR(AK12/AK6, 0)</f>
        <v>0.3030685161832703</v>
      </c>
      <c r="AL13">
        <f t="shared" si="7"/>
        <v>0.5786516853932584</v>
      </c>
      <c r="AM13">
        <f t="shared" si="6"/>
        <v>0</v>
      </c>
      <c r="AN13">
        <f t="shared" si="6"/>
        <v>0</v>
      </c>
      <c r="AO13">
        <f t="shared" si="6"/>
        <v>0</v>
      </c>
      <c r="AP13">
        <f t="shared" si="6"/>
        <v>0</v>
      </c>
      <c r="AQ13">
        <f t="shared" si="6"/>
        <v>0</v>
      </c>
      <c r="AR13">
        <f t="shared" si="6"/>
        <v>0</v>
      </c>
    </row>
    <row r="14" spans="6:44" x14ac:dyDescent="0.3">
      <c r="F14" t="s">
        <v>5</v>
      </c>
      <c r="G14">
        <v>1086</v>
      </c>
      <c r="H14">
        <v>1086</v>
      </c>
      <c r="I14">
        <v>2003</v>
      </c>
      <c r="J14">
        <v>2003</v>
      </c>
      <c r="K14">
        <v>10974</v>
      </c>
      <c r="L14">
        <v>10974</v>
      </c>
      <c r="M14">
        <v>4562</v>
      </c>
      <c r="N14">
        <v>4562</v>
      </c>
      <c r="O14">
        <v>9278</v>
      </c>
      <c r="P14">
        <v>9278</v>
      </c>
      <c r="Q14">
        <v>9604</v>
      </c>
      <c r="R14">
        <v>9604</v>
      </c>
      <c r="S14">
        <v>71</v>
      </c>
      <c r="T14">
        <v>71</v>
      </c>
      <c r="U14">
        <v>35152</v>
      </c>
      <c r="V14">
        <v>35152</v>
      </c>
      <c r="W14">
        <v>36417</v>
      </c>
      <c r="X14">
        <v>36417</v>
      </c>
      <c r="Y14">
        <v>3140</v>
      </c>
      <c r="Z14">
        <v>3140</v>
      </c>
      <c r="AA14">
        <v>8297</v>
      </c>
      <c r="AB14">
        <v>8297</v>
      </c>
      <c r="AC14">
        <v>10879</v>
      </c>
      <c r="AD14">
        <v>10879</v>
      </c>
      <c r="AE14">
        <v>9877</v>
      </c>
      <c r="AF14">
        <v>9877</v>
      </c>
      <c r="AG14">
        <v>7716</v>
      </c>
      <c r="AH14">
        <v>7716</v>
      </c>
      <c r="AI14">
        <v>400727</v>
      </c>
      <c r="AJ14">
        <v>400727</v>
      </c>
      <c r="AK14">
        <v>11532</v>
      </c>
      <c r="AL14">
        <v>11532</v>
      </c>
      <c r="AM14">
        <v>3000</v>
      </c>
      <c r="AN14">
        <v>3000</v>
      </c>
      <c r="AO14">
        <v>4000</v>
      </c>
      <c r="AP14">
        <v>4000</v>
      </c>
      <c r="AQ14">
        <v>5000</v>
      </c>
      <c r="AR14">
        <v>5000</v>
      </c>
    </row>
    <row r="15" spans="6:44" x14ac:dyDescent="0.3">
      <c r="F15" t="s">
        <v>6</v>
      </c>
      <c r="G15">
        <v>1086</v>
      </c>
      <c r="H15">
        <v>1086</v>
      </c>
      <c r="I15">
        <v>2003</v>
      </c>
      <c r="J15">
        <v>2003</v>
      </c>
      <c r="K15">
        <v>10974</v>
      </c>
      <c r="L15">
        <v>10974</v>
      </c>
      <c r="M15">
        <v>5761</v>
      </c>
      <c r="N15">
        <v>5761</v>
      </c>
      <c r="O15">
        <v>21534</v>
      </c>
      <c r="P15">
        <v>21534</v>
      </c>
      <c r="Q15">
        <v>9604</v>
      </c>
      <c r="R15">
        <v>9604</v>
      </c>
      <c r="S15">
        <v>36699</v>
      </c>
      <c r="T15">
        <v>36699</v>
      </c>
      <c r="U15">
        <v>35152</v>
      </c>
      <c r="V15">
        <v>35152</v>
      </c>
      <c r="W15">
        <v>36417</v>
      </c>
      <c r="X15">
        <v>36417</v>
      </c>
      <c r="Y15">
        <v>3140</v>
      </c>
      <c r="Z15">
        <v>3140</v>
      </c>
      <c r="AA15">
        <v>8297</v>
      </c>
      <c r="AB15">
        <v>8297</v>
      </c>
      <c r="AC15">
        <v>10879</v>
      </c>
      <c r="AD15">
        <v>10879</v>
      </c>
      <c r="AE15">
        <v>9877</v>
      </c>
      <c r="AF15">
        <v>9877</v>
      </c>
      <c r="AG15">
        <v>7716</v>
      </c>
      <c r="AH15">
        <v>7716</v>
      </c>
      <c r="AI15">
        <v>400727</v>
      </c>
      <c r="AJ15">
        <v>400727</v>
      </c>
      <c r="AK15">
        <v>11532</v>
      </c>
      <c r="AL15">
        <v>11532</v>
      </c>
      <c r="AM15">
        <v>3000</v>
      </c>
      <c r="AN15">
        <v>3000</v>
      </c>
      <c r="AO15">
        <v>4000</v>
      </c>
      <c r="AP15">
        <v>4000</v>
      </c>
      <c r="AQ15">
        <v>5000</v>
      </c>
      <c r="AR15">
        <v>5000</v>
      </c>
    </row>
    <row r="16" spans="6:44" x14ac:dyDescent="0.3">
      <c r="F16" t="s">
        <v>7</v>
      </c>
      <c r="G16">
        <v>1.8712968332943301E-2</v>
      </c>
      <c r="H16">
        <v>1.8712968332943301E-2</v>
      </c>
      <c r="I16">
        <v>2.09079790199872E-2</v>
      </c>
      <c r="J16">
        <v>2.09079790199872E-2</v>
      </c>
      <c r="K16">
        <v>3.55936820230424E-3</v>
      </c>
      <c r="L16">
        <v>3.55936820230424E-3</v>
      </c>
      <c r="M16">
        <v>9.3714321632839104E-2</v>
      </c>
      <c r="N16">
        <v>9.3714321632839104E-2</v>
      </c>
      <c r="O16">
        <v>4.8376702439189201E-4</v>
      </c>
      <c r="P16">
        <v>4.8376702439189201E-4</v>
      </c>
      <c r="Q16">
        <v>9.2440311469554599E-4</v>
      </c>
      <c r="R16">
        <v>9.2440311469554599E-4</v>
      </c>
      <c r="S16">
        <v>8.1568020619973106E-2</v>
      </c>
      <c r="T16">
        <v>8.1568020619973106E-2</v>
      </c>
      <c r="U16">
        <v>6.1830283475066002E-4</v>
      </c>
      <c r="V16">
        <v>6.1830283475066002E-4</v>
      </c>
      <c r="W16">
        <v>3.27610610455435E-3</v>
      </c>
      <c r="X16">
        <v>3.27610610455435E-3</v>
      </c>
      <c r="Y16">
        <v>5.5089455961702297E-2</v>
      </c>
      <c r="Z16">
        <v>5.5089455961702297E-2</v>
      </c>
      <c r="AA16">
        <v>1.50622726900785E-3</v>
      </c>
      <c r="AB16">
        <v>1.50622726900785E-3</v>
      </c>
      <c r="AC16">
        <v>3.3792232823938402E-4</v>
      </c>
      <c r="AD16">
        <v>3.3792232823938402E-4</v>
      </c>
      <c r="AE16">
        <v>5.3273467559045498E-4</v>
      </c>
      <c r="AF16">
        <v>5.3273467559045498E-4</v>
      </c>
      <c r="AG16">
        <v>4.4454965693740002E-4</v>
      </c>
      <c r="AH16">
        <v>4.4454965693740002E-4</v>
      </c>
      <c r="AI16" s="1">
        <v>1.99302377500994E-5</v>
      </c>
      <c r="AJ16" s="1">
        <v>1.99302377500994E-5</v>
      </c>
      <c r="AK16" s="1">
        <v>4.1446449692715799E-3</v>
      </c>
      <c r="AL16" s="1">
        <v>4.1446449692715799E-3</v>
      </c>
      <c r="AM16">
        <v>1</v>
      </c>
      <c r="AN16">
        <v>1</v>
      </c>
      <c r="AO16">
        <v>1</v>
      </c>
      <c r="AP16">
        <v>1</v>
      </c>
      <c r="AQ16">
        <v>1</v>
      </c>
      <c r="AR16">
        <v>1</v>
      </c>
    </row>
    <row r="17" spans="6:44" x14ac:dyDescent="0.3">
      <c r="F17" t="s">
        <v>56</v>
      </c>
      <c r="G17">
        <v>4</v>
      </c>
      <c r="H17">
        <v>4</v>
      </c>
      <c r="I17">
        <v>4</v>
      </c>
      <c r="J17">
        <v>4</v>
      </c>
      <c r="K17">
        <v>4</v>
      </c>
      <c r="L17">
        <v>4</v>
      </c>
      <c r="M17">
        <v>4</v>
      </c>
      <c r="N17">
        <v>4</v>
      </c>
      <c r="O17">
        <v>4</v>
      </c>
      <c r="P17">
        <v>4</v>
      </c>
      <c r="Q17">
        <v>4</v>
      </c>
      <c r="R17">
        <v>4</v>
      </c>
      <c r="S17">
        <v>4</v>
      </c>
      <c r="T17">
        <v>4</v>
      </c>
      <c r="U17">
        <v>4</v>
      </c>
      <c r="V17">
        <v>4</v>
      </c>
      <c r="W17">
        <v>4</v>
      </c>
      <c r="X17">
        <v>4</v>
      </c>
      <c r="Y17">
        <v>4</v>
      </c>
      <c r="Z17">
        <v>4</v>
      </c>
      <c r="AA17">
        <v>4</v>
      </c>
      <c r="AB17">
        <v>4</v>
      </c>
      <c r="AC17">
        <v>4</v>
      </c>
      <c r="AD17">
        <v>4</v>
      </c>
      <c r="AE17">
        <v>4</v>
      </c>
      <c r="AF17">
        <v>4</v>
      </c>
      <c r="AG17">
        <v>4</v>
      </c>
      <c r="AH17">
        <v>4</v>
      </c>
      <c r="AI17">
        <v>4</v>
      </c>
      <c r="AJ17">
        <v>4</v>
      </c>
      <c r="AK17">
        <v>4</v>
      </c>
      <c r="AL17">
        <v>4</v>
      </c>
      <c r="AM17">
        <v>4</v>
      </c>
      <c r="AN17">
        <v>4</v>
      </c>
      <c r="AO17">
        <v>4</v>
      </c>
      <c r="AP17">
        <v>4</v>
      </c>
      <c r="AQ17">
        <v>4</v>
      </c>
      <c r="AR17">
        <v>4</v>
      </c>
    </row>
    <row r="22" spans="6:44" x14ac:dyDescent="0.3">
      <c r="F22" t="s">
        <v>27</v>
      </c>
      <c r="G22" t="s">
        <v>28</v>
      </c>
      <c r="H22" t="s">
        <v>29</v>
      </c>
      <c r="I22" t="s">
        <v>28</v>
      </c>
      <c r="J22" t="s">
        <v>30</v>
      </c>
      <c r="K22" t="s">
        <v>31</v>
      </c>
      <c r="L22" t="s">
        <v>32</v>
      </c>
      <c r="M22" t="s">
        <v>31</v>
      </c>
      <c r="N22" t="s">
        <v>33</v>
      </c>
      <c r="O22" t="s">
        <v>34</v>
      </c>
      <c r="P22" t="s">
        <v>35</v>
      </c>
      <c r="Q22" t="s">
        <v>36</v>
      </c>
      <c r="R22" t="s">
        <v>36</v>
      </c>
      <c r="S22" t="s">
        <v>42</v>
      </c>
      <c r="T22" t="s">
        <v>43</v>
      </c>
      <c r="U22" t="s">
        <v>36</v>
      </c>
      <c r="V22" t="s">
        <v>76</v>
      </c>
      <c r="W22" t="s">
        <v>45</v>
      </c>
      <c r="X22" t="s">
        <v>45</v>
      </c>
      <c r="Y22" t="s">
        <v>45</v>
      </c>
    </row>
    <row r="23" spans="6:44" x14ac:dyDescent="0.3">
      <c r="F23" t="s">
        <v>26</v>
      </c>
      <c r="G23" t="s">
        <v>14</v>
      </c>
      <c r="H23" t="s">
        <v>15</v>
      </c>
      <c r="I23" t="s">
        <v>16</v>
      </c>
      <c r="J23" t="s">
        <v>17</v>
      </c>
      <c r="K23" t="s">
        <v>18</v>
      </c>
      <c r="L23" t="s">
        <v>19</v>
      </c>
      <c r="M23" t="s">
        <v>20</v>
      </c>
      <c r="N23" t="s">
        <v>21</v>
      </c>
      <c r="O23" t="s">
        <v>23</v>
      </c>
      <c r="P23" t="s">
        <v>24</v>
      </c>
      <c r="Q23" t="s">
        <v>37</v>
      </c>
      <c r="R23" t="s">
        <v>41</v>
      </c>
      <c r="S23" t="s">
        <v>40</v>
      </c>
      <c r="T23" t="s">
        <v>39</v>
      </c>
      <c r="U23" t="s">
        <v>38</v>
      </c>
      <c r="V23" t="s">
        <v>75</v>
      </c>
      <c r="W23" t="s">
        <v>47</v>
      </c>
      <c r="X23" t="s">
        <v>48</v>
      </c>
      <c r="Y23" t="s">
        <v>49</v>
      </c>
    </row>
    <row r="24" spans="6:44" x14ac:dyDescent="0.3">
      <c r="F24" t="s">
        <v>50</v>
      </c>
      <c r="G24">
        <f>G9*100</f>
        <v>99.691889442682367</v>
      </c>
      <c r="H24">
        <f>I9*100</f>
        <v>99.904801480865856</v>
      </c>
      <c r="I24">
        <f>K9*100</f>
        <v>99.897115947028212</v>
      </c>
      <c r="J24">
        <f>M9*100</f>
        <v>99.249923085599704</v>
      </c>
      <c r="K24">
        <f>O9*100</f>
        <v>85.634551495016609</v>
      </c>
      <c r="L24">
        <f>Q9*100</f>
        <v>99.51951903935786</v>
      </c>
      <c r="M24">
        <f>S9*100</f>
        <v>85.452382618431173</v>
      </c>
      <c r="N24">
        <f>U9*100</f>
        <v>99.715949054786662</v>
      </c>
      <c r="O24">
        <f>W9*100</f>
        <v>99.902192129164362</v>
      </c>
      <c r="P24">
        <f>Y9*100</f>
        <v>99.882385893741102</v>
      </c>
      <c r="Q24">
        <f>AA9*100</f>
        <v>90.163466750349471</v>
      </c>
      <c r="R24">
        <f>AC9*100</f>
        <v>84.015603815323132</v>
      </c>
      <c r="S24">
        <f>AE9*100</f>
        <v>71.354647583871952</v>
      </c>
      <c r="T24">
        <f>AG9*100</f>
        <v>87.535315985130111</v>
      </c>
      <c r="U24">
        <f>AI9*100</f>
        <v>46.078210819316226</v>
      </c>
      <c r="V24">
        <f>AK9*100</f>
        <v>99.60703147712556</v>
      </c>
      <c r="W24">
        <f>AM9*100</f>
        <v>0</v>
      </c>
      <c r="X24">
        <f>AO9*100</f>
        <v>0</v>
      </c>
      <c r="Y24">
        <f>AQ9*100</f>
        <v>0</v>
      </c>
    </row>
    <row r="25" spans="6:44" x14ac:dyDescent="0.3">
      <c r="F25" t="s">
        <v>51</v>
      </c>
      <c r="G25">
        <f>H9*100</f>
        <v>99.691889442682367</v>
      </c>
      <c r="H25">
        <f>J9*100</f>
        <v>99.90603115887447</v>
      </c>
      <c r="I25">
        <f>L9*100</f>
        <v>99.870745493943105</v>
      </c>
      <c r="J25">
        <f>N9*100</f>
        <v>99.985138139627551</v>
      </c>
      <c r="K25">
        <f>P9*100</f>
        <v>94.522435170814219</v>
      </c>
      <c r="L25">
        <f>R9*100</f>
        <v>99.521092641879292</v>
      </c>
      <c r="M25">
        <f>T9*100</f>
        <v>87.260932224155766</v>
      </c>
      <c r="N25">
        <f>V9*100</f>
        <v>99.788656941353764</v>
      </c>
      <c r="O25">
        <f>X9*100</f>
        <v>99.933753651077183</v>
      </c>
      <c r="P25">
        <f>Z9*100</f>
        <v>99.974959356620701</v>
      </c>
      <c r="Q25">
        <f>AB9*100</f>
        <v>99.514256771343639</v>
      </c>
      <c r="R25">
        <f>AD9*100</f>
        <v>93.135559398696287</v>
      </c>
      <c r="S25">
        <f>AF9*100</f>
        <v>84.433989110432364</v>
      </c>
      <c r="T25">
        <f>AH9*100</f>
        <v>98.383934005003709</v>
      </c>
      <c r="U25">
        <f>AJ9*100</f>
        <v>49.251804673890618</v>
      </c>
      <c r="V25">
        <f>AL9*100</f>
        <v>99.821700201624736</v>
      </c>
      <c r="W25">
        <f>AN9*100</f>
        <v>0</v>
      </c>
      <c r="X25">
        <f>AP9*100</f>
        <v>0</v>
      </c>
      <c r="Y25">
        <f>AR9*100</f>
        <v>0</v>
      </c>
    </row>
    <row r="26" spans="6:44" x14ac:dyDescent="0.3">
      <c r="F26" t="s">
        <v>52</v>
      </c>
      <c r="G26">
        <f>IFERROR(((G6-H6)/G6)*100, 0)</f>
        <v>0</v>
      </c>
      <c r="H26">
        <f>IFERROR(((I6-J6)/I6)*100, 0)</f>
        <v>0</v>
      </c>
      <c r="I26">
        <f>IFERROR(((K6-L6)/K6)*100, 0)</f>
        <v>-29.300291545189506</v>
      </c>
      <c r="J26">
        <f>IFERROR(((M6-N6)/M6)*100, 0)</f>
        <v>97.211229573071364</v>
      </c>
      <c r="K26">
        <f>IFERROR(((O6-P6)/O6)*100, 0)</f>
        <v>55.297801181242434</v>
      </c>
      <c r="L26">
        <f>IFERROR(((Q6-R6)/Q6)*100, 0)</f>
        <v>0</v>
      </c>
      <c r="M26">
        <f>IFERROR(((S6-T6)/S6)*100, 0)</f>
        <v>1.6418149751483084</v>
      </c>
      <c r="N26">
        <f>IFERROR(((U6-V6)/U6)*100, 0)</f>
        <v>4.2666666666666666</v>
      </c>
      <c r="O26">
        <f>IFERROR(((W6-X6)/W6)*100, 0)</f>
        <v>16.729155507945009</v>
      </c>
      <c r="P26">
        <f>IFERROR(((Y6-Z6)/Y6)*100, 0)</f>
        <v>77.765237020316022</v>
      </c>
      <c r="Q26">
        <f>IFERROR(((AA6-AB6)/AA6)*100, 0)</f>
        <v>94.344547563805108</v>
      </c>
      <c r="R26">
        <f>IFERROR(((AC6-AD6)/AC6)*100, 0)</f>
        <v>53.928571428571423</v>
      </c>
      <c r="S26">
        <f>IFERROR(((AE6-AF6)/AE6)*100, 0)</f>
        <v>44.899603787522665</v>
      </c>
      <c r="T26">
        <f>IFERROR(((AG6-AH6)/AG6)*100, 0)</f>
        <v>85.744109752460488</v>
      </c>
      <c r="U26">
        <f>IFERROR(((AI6-AJ6)/AI6)*100, 0)</f>
        <v>-0.50284463084607511</v>
      </c>
      <c r="V26">
        <f>IFERROR(((AK6-AL6)/AK6)*100, 0)</f>
        <v>47.625052543085324</v>
      </c>
      <c r="W26">
        <f>IFERROR(((AM6-AN6)/AM6)*100, 0)</f>
        <v>0</v>
      </c>
      <c r="X26">
        <f>IFERROR(((AO6-AP6)/AO6)*100, 0)</f>
        <v>0</v>
      </c>
      <c r="Y26">
        <f>IFERROR(((AQ6-AR6)/AQ6)*100, 0)</f>
        <v>0</v>
      </c>
    </row>
    <row r="27" spans="6:44" x14ac:dyDescent="0.3">
      <c r="F27" t="s">
        <v>62</v>
      </c>
      <c r="G27">
        <f>G13</f>
        <v>1</v>
      </c>
      <c r="H27">
        <f>I13</f>
        <v>1</v>
      </c>
      <c r="I27">
        <f>K13</f>
        <v>1</v>
      </c>
      <c r="J27">
        <f>M13</f>
        <v>1.6807113925229294E-2</v>
      </c>
      <c r="K27">
        <f>O13</f>
        <v>9.5780260442610121E-2</v>
      </c>
      <c r="L27">
        <f>Q13</f>
        <v>1</v>
      </c>
      <c r="M27">
        <f>S13</f>
        <v>7.3561006894340225E-2</v>
      </c>
      <c r="N27">
        <f>U13</f>
        <v>0.836952380952381</v>
      </c>
      <c r="O27">
        <f>W13</f>
        <v>0.40653454740224959</v>
      </c>
      <c r="P27">
        <f>Y13</f>
        <v>0.22234762979683972</v>
      </c>
      <c r="Q27">
        <f>AA13</f>
        <v>4.8917246713070378E-2</v>
      </c>
      <c r="R27">
        <f>AC13</f>
        <v>0.10119047619047619</v>
      </c>
      <c r="S27">
        <f>AE13</f>
        <v>4.150157813444362E-2</v>
      </c>
      <c r="T27">
        <f>AG13</f>
        <v>0.14255890247539516</v>
      </c>
      <c r="U27">
        <f>AI13</f>
        <v>0</v>
      </c>
      <c r="V27">
        <f>AK13</f>
        <v>0.3030685161832703</v>
      </c>
      <c r="W27">
        <f>AM13</f>
        <v>0</v>
      </c>
      <c r="X27">
        <f>AO13</f>
        <v>0</v>
      </c>
      <c r="Y27">
        <f>AQ13</f>
        <v>0</v>
      </c>
    </row>
    <row r="28" spans="6:44" x14ac:dyDescent="0.3">
      <c r="F28" t="s">
        <v>63</v>
      </c>
      <c r="G28">
        <f>H13</f>
        <v>1</v>
      </c>
      <c r="H28">
        <f>J13</f>
        <v>1</v>
      </c>
      <c r="I28">
        <f>L13</f>
        <v>0.77339346110484786</v>
      </c>
      <c r="J28">
        <f>N13</f>
        <v>0.60267111853088484</v>
      </c>
      <c r="K28">
        <f>P13</f>
        <v>0.2142629735752945</v>
      </c>
      <c r="L28">
        <f>R13</f>
        <v>1</v>
      </c>
      <c r="M28">
        <f>T13</f>
        <v>7.478890229191798E-2</v>
      </c>
      <c r="N28">
        <f>V13</f>
        <v>0.87425387982491043</v>
      </c>
      <c r="O28">
        <f>X13</f>
        <v>0.4882075471698113</v>
      </c>
      <c r="P28">
        <f>Z13</f>
        <v>1</v>
      </c>
      <c r="Q28">
        <f>AB13</f>
        <v>0.86495726495726499</v>
      </c>
      <c r="R28">
        <f>AD13</f>
        <v>0.21963824289405684</v>
      </c>
      <c r="S28">
        <f>AF13</f>
        <v>7.5319926873857398E-2</v>
      </c>
      <c r="T28">
        <f>AH13</f>
        <v>1</v>
      </c>
      <c r="U28">
        <f>AJ13</f>
        <v>0</v>
      </c>
      <c r="V28">
        <f>AL13</f>
        <v>0.5786516853932584</v>
      </c>
      <c r="W28">
        <f>AN13</f>
        <v>0</v>
      </c>
      <c r="X28">
        <f>AP13</f>
        <v>0</v>
      </c>
      <c r="Y28">
        <f>AR13</f>
        <v>0</v>
      </c>
    </row>
    <row r="84" spans="6:44" x14ac:dyDescent="0.3">
      <c r="F84" s="6" t="s">
        <v>64</v>
      </c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</row>
    <row r="85" spans="6:44" x14ac:dyDescent="0.3">
      <c r="F85" t="s">
        <v>27</v>
      </c>
      <c r="G85" s="4" t="s">
        <v>28</v>
      </c>
      <c r="H85" s="4"/>
      <c r="I85" s="4" t="s">
        <v>29</v>
      </c>
      <c r="J85" s="4"/>
      <c r="K85" s="4" t="s">
        <v>28</v>
      </c>
      <c r="L85" s="4"/>
      <c r="M85" s="4" t="s">
        <v>30</v>
      </c>
      <c r="N85" s="4"/>
      <c r="O85" s="4" t="s">
        <v>31</v>
      </c>
      <c r="P85" s="4"/>
      <c r="Q85" s="4" t="s">
        <v>32</v>
      </c>
      <c r="R85" s="4"/>
      <c r="S85" s="4" t="s">
        <v>31</v>
      </c>
      <c r="T85" s="4"/>
      <c r="U85" s="4" t="s">
        <v>33</v>
      </c>
      <c r="V85" s="4"/>
      <c r="W85" s="4" t="s">
        <v>34</v>
      </c>
      <c r="X85" s="4"/>
      <c r="Y85" s="4" t="s">
        <v>35</v>
      </c>
      <c r="Z85" s="4"/>
      <c r="AA85" s="4" t="s">
        <v>36</v>
      </c>
      <c r="AB85" s="4"/>
      <c r="AC85" s="4" t="s">
        <v>36</v>
      </c>
      <c r="AD85" s="4"/>
      <c r="AE85" s="4" t="s">
        <v>42</v>
      </c>
      <c r="AF85" s="4"/>
      <c r="AG85" s="4" t="s">
        <v>43</v>
      </c>
      <c r="AH85" s="4"/>
      <c r="AI85" s="4" t="s">
        <v>36</v>
      </c>
      <c r="AJ85" s="4"/>
      <c r="AK85" s="4" t="s">
        <v>76</v>
      </c>
      <c r="AL85" s="4"/>
      <c r="AM85" s="4" t="s">
        <v>45</v>
      </c>
      <c r="AN85" s="4"/>
      <c r="AO85" s="4" t="s">
        <v>45</v>
      </c>
      <c r="AP85" s="4"/>
      <c r="AQ85" s="4" t="s">
        <v>45</v>
      </c>
      <c r="AR85" s="4"/>
    </row>
    <row r="86" spans="6:44" x14ac:dyDescent="0.3">
      <c r="F86" t="s">
        <v>26</v>
      </c>
      <c r="G86" s="4" t="s">
        <v>14</v>
      </c>
      <c r="H86" s="4"/>
      <c r="I86" s="4" t="s">
        <v>15</v>
      </c>
      <c r="J86" s="4"/>
      <c r="K86" s="4" t="s">
        <v>16</v>
      </c>
      <c r="L86" s="4"/>
      <c r="M86" s="4" t="s">
        <v>17</v>
      </c>
      <c r="N86" s="4"/>
      <c r="O86" s="4" t="s">
        <v>18</v>
      </c>
      <c r="P86" s="4"/>
      <c r="Q86" s="4" t="s">
        <v>19</v>
      </c>
      <c r="R86" s="4"/>
      <c r="S86" s="4" t="s">
        <v>20</v>
      </c>
      <c r="T86" s="4"/>
      <c r="U86" s="4" t="s">
        <v>21</v>
      </c>
      <c r="V86" s="4"/>
      <c r="W86" s="4" t="s">
        <v>23</v>
      </c>
      <c r="X86" s="4"/>
      <c r="Y86" s="4" t="s">
        <v>24</v>
      </c>
      <c r="Z86" s="4"/>
      <c r="AA86" s="4" t="s">
        <v>37</v>
      </c>
      <c r="AB86" s="4"/>
      <c r="AC86" s="4" t="s">
        <v>41</v>
      </c>
      <c r="AD86" s="4"/>
      <c r="AE86" s="4" t="s">
        <v>40</v>
      </c>
      <c r="AF86" s="4"/>
      <c r="AG86" s="4" t="s">
        <v>39</v>
      </c>
      <c r="AH86" s="4"/>
      <c r="AI86" s="4" t="s">
        <v>38</v>
      </c>
      <c r="AJ86" s="4"/>
      <c r="AK86" s="4" t="s">
        <v>75</v>
      </c>
      <c r="AL86" s="4"/>
      <c r="AM86" s="4" t="s">
        <v>47</v>
      </c>
      <c r="AN86" s="4"/>
      <c r="AO86" s="4" t="s">
        <v>48</v>
      </c>
      <c r="AP86" s="4"/>
      <c r="AQ86" s="4" t="s">
        <v>49</v>
      </c>
      <c r="AR86" s="4"/>
    </row>
    <row r="87" spans="6:44" x14ac:dyDescent="0.3">
      <c r="F87" t="s">
        <v>25</v>
      </c>
      <c r="G87" t="s">
        <v>1</v>
      </c>
      <c r="H87" t="s">
        <v>13</v>
      </c>
      <c r="I87" t="s">
        <v>1</v>
      </c>
      <c r="J87" t="s">
        <v>13</v>
      </c>
      <c r="K87" t="s">
        <v>1</v>
      </c>
      <c r="L87" t="s">
        <v>13</v>
      </c>
      <c r="M87" t="s">
        <v>1</v>
      </c>
      <c r="N87" t="s">
        <v>13</v>
      </c>
      <c r="O87" t="s">
        <v>1</v>
      </c>
      <c r="P87" t="s">
        <v>13</v>
      </c>
      <c r="Q87" t="s">
        <v>1</v>
      </c>
      <c r="R87" t="s">
        <v>13</v>
      </c>
      <c r="S87" t="s">
        <v>1</v>
      </c>
      <c r="T87" t="s">
        <v>13</v>
      </c>
      <c r="U87" t="s">
        <v>1</v>
      </c>
      <c r="V87" t="s">
        <v>13</v>
      </c>
      <c r="W87" t="s">
        <v>1</v>
      </c>
      <c r="X87" t="s">
        <v>13</v>
      </c>
      <c r="Y87" t="s">
        <v>1</v>
      </c>
      <c r="Z87" t="s">
        <v>13</v>
      </c>
      <c r="AA87" t="s">
        <v>1</v>
      </c>
      <c r="AB87" t="s">
        <v>13</v>
      </c>
      <c r="AC87" t="s">
        <v>1</v>
      </c>
      <c r="AD87" t="s">
        <v>13</v>
      </c>
      <c r="AE87" t="s">
        <v>1</v>
      </c>
      <c r="AF87" t="s">
        <v>13</v>
      </c>
      <c r="AG87" t="s">
        <v>1</v>
      </c>
      <c r="AH87" t="s">
        <v>13</v>
      </c>
      <c r="AI87" t="s">
        <v>1</v>
      </c>
      <c r="AJ87" t="s">
        <v>13</v>
      </c>
      <c r="AK87" t="s">
        <v>1</v>
      </c>
      <c r="AL87" t="s">
        <v>13</v>
      </c>
      <c r="AM87" t="s">
        <v>22</v>
      </c>
      <c r="AN87" t="s">
        <v>13</v>
      </c>
      <c r="AO87" t="s">
        <v>22</v>
      </c>
      <c r="AP87" t="s">
        <v>13</v>
      </c>
      <c r="AQ87" t="s">
        <v>22</v>
      </c>
      <c r="AR87" t="s">
        <v>13</v>
      </c>
    </row>
    <row r="88" spans="6:44" x14ac:dyDescent="0.3">
      <c r="F88" t="s">
        <v>4</v>
      </c>
      <c r="G88">
        <v>68</v>
      </c>
      <c r="H88">
        <v>68</v>
      </c>
      <c r="I88">
        <v>126</v>
      </c>
      <c r="J88">
        <v>126</v>
      </c>
      <c r="K88">
        <v>686</v>
      </c>
      <c r="L88">
        <v>686</v>
      </c>
      <c r="M88">
        <v>21479</v>
      </c>
      <c r="N88">
        <v>599</v>
      </c>
      <c r="O88">
        <v>14053</v>
      </c>
      <c r="P88">
        <v>6282</v>
      </c>
      <c r="Q88">
        <v>601</v>
      </c>
      <c r="R88">
        <v>601</v>
      </c>
      <c r="S88">
        <v>31185</v>
      </c>
      <c r="T88">
        <v>30673</v>
      </c>
      <c r="U88">
        <v>2625</v>
      </c>
      <c r="V88">
        <v>2513</v>
      </c>
      <c r="W88">
        <v>5601</v>
      </c>
      <c r="X88">
        <v>4664</v>
      </c>
      <c r="Y88">
        <v>886</v>
      </c>
      <c r="Z88">
        <v>197</v>
      </c>
      <c r="AA88">
        <v>10344</v>
      </c>
      <c r="AB88">
        <v>585</v>
      </c>
      <c r="AC88">
        <v>6720</v>
      </c>
      <c r="AD88">
        <v>3096</v>
      </c>
      <c r="AE88">
        <v>14891</v>
      </c>
      <c r="AF88">
        <v>8205</v>
      </c>
      <c r="AG88">
        <v>3353</v>
      </c>
      <c r="AH88">
        <v>478</v>
      </c>
      <c r="AI88">
        <v>1728168</v>
      </c>
      <c r="AJ88">
        <v>1728168</v>
      </c>
      <c r="AK88">
        <v>2379</v>
      </c>
      <c r="AL88">
        <v>1246</v>
      </c>
      <c r="AM88" t="s">
        <v>57</v>
      </c>
      <c r="AN88" t="s">
        <v>57</v>
      </c>
      <c r="AO88" t="s">
        <v>57</v>
      </c>
      <c r="AP88" t="s">
        <v>57</v>
      </c>
      <c r="AQ88" t="s">
        <v>57</v>
      </c>
      <c r="AR88" t="s">
        <v>57</v>
      </c>
    </row>
    <row r="89" spans="6:44" x14ac:dyDescent="0.3">
      <c r="F89" t="s">
        <v>59</v>
      </c>
      <c r="G89">
        <v>22002</v>
      </c>
      <c r="H89">
        <v>22002</v>
      </c>
      <c r="I89">
        <v>132229</v>
      </c>
      <c r="J89">
        <v>133961</v>
      </c>
      <c r="K89">
        <v>666084</v>
      </c>
      <c r="L89">
        <v>666084</v>
      </c>
      <c r="M89">
        <v>2842094</v>
      </c>
      <c r="N89">
        <v>4029852</v>
      </c>
      <c r="O89">
        <v>83772</v>
      </c>
      <c r="P89">
        <v>108404</v>
      </c>
      <c r="Q89">
        <v>124482</v>
      </c>
      <c r="R89">
        <v>124893</v>
      </c>
      <c r="S89">
        <v>183180</v>
      </c>
      <c r="T89">
        <v>210106</v>
      </c>
      <c r="U89">
        <v>921505</v>
      </c>
      <c r="V89">
        <v>1186549</v>
      </c>
      <c r="W89">
        <v>5720932</v>
      </c>
      <c r="X89">
        <v>7035724</v>
      </c>
      <c r="Y89">
        <v>752425</v>
      </c>
      <c r="Z89">
        <v>786524</v>
      </c>
      <c r="AA89">
        <v>94815</v>
      </c>
      <c r="AB89">
        <v>119849</v>
      </c>
      <c r="AC89">
        <v>35321</v>
      </c>
      <c r="AD89">
        <v>42006</v>
      </c>
      <c r="AE89">
        <v>37093</v>
      </c>
      <c r="AF89">
        <v>44506</v>
      </c>
      <c r="AG89">
        <v>23547</v>
      </c>
      <c r="AH89">
        <v>29100</v>
      </c>
      <c r="AI89">
        <v>1476785</v>
      </c>
      <c r="AJ89">
        <v>1476785</v>
      </c>
      <c r="AK89">
        <v>603013</v>
      </c>
      <c r="AL89">
        <v>697577</v>
      </c>
      <c r="AM89" t="s">
        <v>57</v>
      </c>
      <c r="AN89" t="s">
        <v>57</v>
      </c>
      <c r="AO89" t="s">
        <v>57</v>
      </c>
      <c r="AP89" t="s">
        <v>57</v>
      </c>
      <c r="AQ89" t="s">
        <v>57</v>
      </c>
      <c r="AR89" t="s">
        <v>57</v>
      </c>
    </row>
    <row r="90" spans="6:44" x14ac:dyDescent="0.3">
      <c r="F90" t="s">
        <v>3</v>
      </c>
      <c r="G90">
        <f t="shared" ref="G90:AR90" si="8">G88+G89</f>
        <v>22070</v>
      </c>
      <c r="H90">
        <f t="shared" si="8"/>
        <v>22070</v>
      </c>
      <c r="I90">
        <f t="shared" si="8"/>
        <v>132355</v>
      </c>
      <c r="J90">
        <f t="shared" si="8"/>
        <v>134087</v>
      </c>
      <c r="K90">
        <f t="shared" si="8"/>
        <v>666770</v>
      </c>
      <c r="L90">
        <f t="shared" si="8"/>
        <v>666770</v>
      </c>
      <c r="M90">
        <f t="shared" si="8"/>
        <v>2863573</v>
      </c>
      <c r="N90">
        <f t="shared" si="8"/>
        <v>4030451</v>
      </c>
      <c r="O90">
        <f t="shared" si="8"/>
        <v>97825</v>
      </c>
      <c r="P90">
        <f t="shared" si="8"/>
        <v>114686</v>
      </c>
      <c r="Q90">
        <f t="shared" si="8"/>
        <v>125083</v>
      </c>
      <c r="R90">
        <f t="shared" si="8"/>
        <v>125494</v>
      </c>
      <c r="S90">
        <f t="shared" si="8"/>
        <v>214365</v>
      </c>
      <c r="T90">
        <f t="shared" si="8"/>
        <v>240779</v>
      </c>
      <c r="U90">
        <f t="shared" si="8"/>
        <v>924130</v>
      </c>
      <c r="V90">
        <f t="shared" si="8"/>
        <v>1189062</v>
      </c>
      <c r="W90">
        <f t="shared" si="8"/>
        <v>5726533</v>
      </c>
      <c r="X90">
        <f t="shared" si="8"/>
        <v>7040388</v>
      </c>
      <c r="Y90">
        <f t="shared" si="8"/>
        <v>753311</v>
      </c>
      <c r="Z90">
        <f t="shared" si="8"/>
        <v>786721</v>
      </c>
      <c r="AA90">
        <f t="shared" si="8"/>
        <v>105159</v>
      </c>
      <c r="AB90">
        <f t="shared" si="8"/>
        <v>120434</v>
      </c>
      <c r="AC90">
        <f t="shared" si="8"/>
        <v>42041</v>
      </c>
      <c r="AD90">
        <f t="shared" si="8"/>
        <v>45102</v>
      </c>
      <c r="AE90">
        <f t="shared" si="8"/>
        <v>51984</v>
      </c>
      <c r="AF90">
        <f t="shared" si="8"/>
        <v>52711</v>
      </c>
      <c r="AG90">
        <f t="shared" si="8"/>
        <v>26900</v>
      </c>
      <c r="AH90">
        <f t="shared" si="8"/>
        <v>29578</v>
      </c>
      <c r="AI90">
        <f t="shared" si="8"/>
        <v>3204953</v>
      </c>
      <c r="AJ90">
        <f t="shared" si="8"/>
        <v>3204953</v>
      </c>
      <c r="AK90">
        <f t="shared" si="8"/>
        <v>605392</v>
      </c>
      <c r="AL90">
        <f t="shared" si="8"/>
        <v>698823</v>
      </c>
      <c r="AM90" t="e">
        <f t="shared" si="8"/>
        <v>#VALUE!</v>
      </c>
      <c r="AN90" t="e">
        <f t="shared" si="8"/>
        <v>#VALUE!</v>
      </c>
      <c r="AO90" t="e">
        <f t="shared" si="8"/>
        <v>#VALUE!</v>
      </c>
      <c r="AP90" t="e">
        <f t="shared" si="8"/>
        <v>#VALUE!</v>
      </c>
      <c r="AQ90" t="e">
        <f t="shared" si="8"/>
        <v>#VALUE!</v>
      </c>
      <c r="AR90" t="e">
        <f t="shared" si="8"/>
        <v>#VALUE!</v>
      </c>
    </row>
    <row r="91" spans="6:44" x14ac:dyDescent="0.3">
      <c r="F91" t="s">
        <v>60</v>
      </c>
      <c r="G91">
        <f t="shared" ref="G91:AR91" si="9">IFERROR(G89/G90, 0)</f>
        <v>0.99691889442682369</v>
      </c>
      <c r="H91">
        <f t="shared" si="9"/>
        <v>0.99691889442682369</v>
      </c>
      <c r="I91">
        <f t="shared" si="9"/>
        <v>0.99904801480865857</v>
      </c>
      <c r="J91">
        <f t="shared" si="9"/>
        <v>0.99906031158874464</v>
      </c>
      <c r="K91">
        <f t="shared" si="9"/>
        <v>0.99897115947028214</v>
      </c>
      <c r="L91">
        <f t="shared" si="9"/>
        <v>0.99897115947028214</v>
      </c>
      <c r="M91">
        <f t="shared" si="9"/>
        <v>0.99249923085599701</v>
      </c>
      <c r="N91">
        <f t="shared" si="9"/>
        <v>0.9998513813962755</v>
      </c>
      <c r="O91">
        <f t="shared" si="9"/>
        <v>0.85634551495016609</v>
      </c>
      <c r="P91">
        <f t="shared" si="9"/>
        <v>0.94522435170814223</v>
      </c>
      <c r="Q91">
        <f t="shared" si="9"/>
        <v>0.99519519039357862</v>
      </c>
      <c r="R91">
        <f t="shared" si="9"/>
        <v>0.99521092641879294</v>
      </c>
      <c r="S91">
        <f t="shared" si="9"/>
        <v>0.85452382618431177</v>
      </c>
      <c r="T91">
        <f t="shared" si="9"/>
        <v>0.87260932224155763</v>
      </c>
      <c r="U91">
        <f t="shared" si="9"/>
        <v>0.99715949054786668</v>
      </c>
      <c r="V91">
        <f t="shared" si="9"/>
        <v>0.99788656941353771</v>
      </c>
      <c r="W91">
        <f t="shared" si="9"/>
        <v>0.99902192129164369</v>
      </c>
      <c r="X91">
        <f t="shared" si="9"/>
        <v>0.99933753651077184</v>
      </c>
      <c r="Y91">
        <f t="shared" si="9"/>
        <v>0.99882385893741099</v>
      </c>
      <c r="Z91">
        <f t="shared" si="9"/>
        <v>0.99974959356620707</v>
      </c>
      <c r="AA91">
        <f t="shared" si="9"/>
        <v>0.90163466750349475</v>
      </c>
      <c r="AB91">
        <f t="shared" si="9"/>
        <v>0.99514256771343645</v>
      </c>
      <c r="AC91">
        <f t="shared" si="9"/>
        <v>0.84015603815323137</v>
      </c>
      <c r="AD91">
        <f t="shared" si="9"/>
        <v>0.93135559398696288</v>
      </c>
      <c r="AE91">
        <f t="shared" si="9"/>
        <v>0.71354647583871955</v>
      </c>
      <c r="AF91">
        <f t="shared" si="9"/>
        <v>0.84433989110432361</v>
      </c>
      <c r="AG91">
        <f t="shared" si="9"/>
        <v>0.87535315985130113</v>
      </c>
      <c r="AH91">
        <f t="shared" si="9"/>
        <v>0.98383934005003715</v>
      </c>
      <c r="AI91">
        <f t="shared" si="9"/>
        <v>0.46078210819316229</v>
      </c>
      <c r="AJ91">
        <f t="shared" si="9"/>
        <v>0.46078210819316229</v>
      </c>
      <c r="AK91">
        <f t="shared" si="9"/>
        <v>0.99607031477125563</v>
      </c>
      <c r="AL91">
        <f t="shared" si="9"/>
        <v>0.9982170020162473</v>
      </c>
      <c r="AM91">
        <f t="shared" si="9"/>
        <v>0</v>
      </c>
      <c r="AN91">
        <f t="shared" si="9"/>
        <v>0</v>
      </c>
      <c r="AO91">
        <f t="shared" si="9"/>
        <v>0</v>
      </c>
      <c r="AP91">
        <f t="shared" si="9"/>
        <v>0</v>
      </c>
      <c r="AQ91">
        <f t="shared" si="9"/>
        <v>0</v>
      </c>
      <c r="AR91">
        <f t="shared" si="9"/>
        <v>0</v>
      </c>
    </row>
    <row r="92" spans="6:44" x14ac:dyDescent="0.3">
      <c r="F92" t="s">
        <v>61</v>
      </c>
      <c r="G92">
        <f t="shared" ref="G92:AR92" si="10">IFERROR(G88/G90, 0)</f>
        <v>3.0811055731762575E-3</v>
      </c>
      <c r="H92">
        <f t="shared" si="10"/>
        <v>3.0811055731762575E-3</v>
      </c>
      <c r="I92">
        <f t="shared" si="10"/>
        <v>9.5198519134146798E-4</v>
      </c>
      <c r="J92">
        <f t="shared" si="10"/>
        <v>9.3968841125537897E-4</v>
      </c>
      <c r="K92">
        <f t="shared" si="10"/>
        <v>1.0288405297178937E-3</v>
      </c>
      <c r="L92">
        <f t="shared" si="10"/>
        <v>1.0288405297178937E-3</v>
      </c>
      <c r="M92">
        <f t="shared" si="10"/>
        <v>7.5007691440029641E-3</v>
      </c>
      <c r="N92">
        <f t="shared" si="10"/>
        <v>1.4861860372449633E-4</v>
      </c>
      <c r="O92">
        <f t="shared" si="10"/>
        <v>0.14365448504983389</v>
      </c>
      <c r="P92">
        <f t="shared" si="10"/>
        <v>5.477564829185777E-2</v>
      </c>
      <c r="Q92">
        <f t="shared" si="10"/>
        <v>4.8048096064213361E-3</v>
      </c>
      <c r="R92">
        <f t="shared" si="10"/>
        <v>4.7890735812070699E-3</v>
      </c>
      <c r="S92">
        <f t="shared" si="10"/>
        <v>0.1454761738156882</v>
      </c>
      <c r="T92">
        <f t="shared" si="10"/>
        <v>0.1273906777584424</v>
      </c>
      <c r="U92">
        <f t="shared" si="10"/>
        <v>2.8405094521333578E-3</v>
      </c>
      <c r="V92">
        <f t="shared" si="10"/>
        <v>2.1134305864622701E-3</v>
      </c>
      <c r="W92">
        <f t="shared" si="10"/>
        <v>9.780787083563476E-4</v>
      </c>
      <c r="X92">
        <f t="shared" si="10"/>
        <v>6.6246348922815047E-4</v>
      </c>
      <c r="Y92">
        <f t="shared" si="10"/>
        <v>1.1761410625890237E-3</v>
      </c>
      <c r="Z92">
        <f t="shared" si="10"/>
        <v>2.5040643379292026E-4</v>
      </c>
      <c r="AA92">
        <f t="shared" si="10"/>
        <v>9.8365332496505295E-2</v>
      </c>
      <c r="AB92">
        <f t="shared" si="10"/>
        <v>4.857432286563595E-3</v>
      </c>
      <c r="AC92">
        <f t="shared" si="10"/>
        <v>0.15984396184676863</v>
      </c>
      <c r="AD92">
        <f t="shared" si="10"/>
        <v>6.8644406013037118E-2</v>
      </c>
      <c r="AE92">
        <f t="shared" si="10"/>
        <v>0.28645352416128039</v>
      </c>
      <c r="AF92">
        <f t="shared" si="10"/>
        <v>0.15566010889567641</v>
      </c>
      <c r="AG92">
        <f t="shared" si="10"/>
        <v>0.12464684014869888</v>
      </c>
      <c r="AH92">
        <f t="shared" si="10"/>
        <v>1.6160659949962811E-2</v>
      </c>
      <c r="AI92">
        <f t="shared" si="10"/>
        <v>0.53921789180683777</v>
      </c>
      <c r="AJ92">
        <f t="shared" si="10"/>
        <v>0.53921789180683777</v>
      </c>
      <c r="AK92">
        <f t="shared" si="10"/>
        <v>3.9296852287443512E-3</v>
      </c>
      <c r="AL92">
        <f t="shared" si="10"/>
        <v>1.7829979837526812E-3</v>
      </c>
      <c r="AM92">
        <f t="shared" si="10"/>
        <v>0</v>
      </c>
      <c r="AN92">
        <f t="shared" si="10"/>
        <v>0</v>
      </c>
      <c r="AO92">
        <f t="shared" si="10"/>
        <v>0</v>
      </c>
      <c r="AP92">
        <f t="shared" si="10"/>
        <v>0</v>
      </c>
      <c r="AQ92">
        <f t="shared" si="10"/>
        <v>0</v>
      </c>
      <c r="AR92">
        <f t="shared" si="10"/>
        <v>0</v>
      </c>
    </row>
    <row r="93" spans="6:44" x14ac:dyDescent="0.3">
      <c r="F93" t="s">
        <v>58</v>
      </c>
      <c r="G93">
        <v>128</v>
      </c>
      <c r="H93">
        <v>128</v>
      </c>
      <c r="I93">
        <v>128</v>
      </c>
      <c r="J93">
        <v>128</v>
      </c>
      <c r="K93">
        <v>128</v>
      </c>
      <c r="L93">
        <v>128</v>
      </c>
      <c r="M93">
        <v>128</v>
      </c>
      <c r="N93">
        <v>128</v>
      </c>
      <c r="O93">
        <v>128</v>
      </c>
      <c r="P93">
        <v>128</v>
      </c>
      <c r="Q93">
        <v>128</v>
      </c>
      <c r="R93">
        <v>128</v>
      </c>
      <c r="S93">
        <v>128</v>
      </c>
      <c r="T93">
        <v>128</v>
      </c>
      <c r="U93">
        <v>128</v>
      </c>
      <c r="V93">
        <v>128</v>
      </c>
      <c r="W93">
        <v>128</v>
      </c>
      <c r="X93">
        <v>128</v>
      </c>
      <c r="Y93">
        <v>128</v>
      </c>
      <c r="Z93">
        <v>128</v>
      </c>
      <c r="AA93">
        <v>128</v>
      </c>
      <c r="AB93">
        <v>128</v>
      </c>
      <c r="AC93">
        <v>128</v>
      </c>
      <c r="AD93">
        <v>128</v>
      </c>
      <c r="AE93">
        <v>128</v>
      </c>
      <c r="AF93">
        <v>128</v>
      </c>
      <c r="AG93">
        <v>128</v>
      </c>
      <c r="AH93">
        <v>128</v>
      </c>
      <c r="AI93">
        <v>128</v>
      </c>
      <c r="AJ93">
        <v>128</v>
      </c>
      <c r="AK93">
        <v>128</v>
      </c>
      <c r="AL93">
        <v>128</v>
      </c>
      <c r="AM93">
        <v>128</v>
      </c>
      <c r="AN93">
        <v>128</v>
      </c>
      <c r="AO93">
        <v>128</v>
      </c>
      <c r="AP93">
        <v>128</v>
      </c>
      <c r="AQ93">
        <v>128</v>
      </c>
      <c r="AR93">
        <v>128</v>
      </c>
    </row>
    <row r="94" spans="6:44" x14ac:dyDescent="0.3">
      <c r="F94" t="s">
        <v>9</v>
      </c>
      <c r="G94">
        <v>68</v>
      </c>
      <c r="H94">
        <v>68</v>
      </c>
      <c r="I94">
        <v>126</v>
      </c>
      <c r="J94">
        <v>126</v>
      </c>
      <c r="K94">
        <v>686</v>
      </c>
      <c r="L94">
        <v>686</v>
      </c>
      <c r="M94">
        <v>361</v>
      </c>
      <c r="N94">
        <v>361</v>
      </c>
      <c r="O94">
        <v>1346</v>
      </c>
      <c r="P94">
        <v>1346</v>
      </c>
      <c r="Q94">
        <v>601</v>
      </c>
      <c r="R94">
        <v>601</v>
      </c>
      <c r="S94">
        <v>2294</v>
      </c>
      <c r="T94">
        <v>2294</v>
      </c>
      <c r="U94">
        <v>2197</v>
      </c>
      <c r="V94">
        <v>2197</v>
      </c>
      <c r="W94">
        <v>2277</v>
      </c>
      <c r="X94">
        <v>2277</v>
      </c>
      <c r="Y94">
        <v>197</v>
      </c>
      <c r="Z94">
        <v>197</v>
      </c>
      <c r="AA94">
        <v>506</v>
      </c>
      <c r="AB94">
        <v>506</v>
      </c>
      <c r="AC94">
        <v>680</v>
      </c>
      <c r="AD94">
        <v>680</v>
      </c>
      <c r="AE94">
        <v>618</v>
      </c>
      <c r="AF94">
        <v>618</v>
      </c>
      <c r="AG94">
        <v>478</v>
      </c>
      <c r="AH94">
        <v>478</v>
      </c>
      <c r="AI94" t="s">
        <v>44</v>
      </c>
      <c r="AJ94" t="s">
        <v>44</v>
      </c>
      <c r="AK94">
        <v>721</v>
      </c>
      <c r="AL94">
        <v>721</v>
      </c>
      <c r="AM94">
        <v>188</v>
      </c>
      <c r="AN94">
        <v>188</v>
      </c>
      <c r="AO94">
        <v>250</v>
      </c>
      <c r="AP94">
        <v>250</v>
      </c>
      <c r="AQ94">
        <v>313</v>
      </c>
      <c r="AR94">
        <v>313</v>
      </c>
    </row>
    <row r="95" spans="6:44" x14ac:dyDescent="0.3">
      <c r="F95" t="s">
        <v>8</v>
      </c>
      <c r="G95">
        <f t="shared" ref="G95:AR95" si="11">IFERROR(G94/G88, 0)</f>
        <v>1</v>
      </c>
      <c r="H95">
        <f t="shared" si="11"/>
        <v>1</v>
      </c>
      <c r="I95">
        <f t="shared" si="11"/>
        <v>1</v>
      </c>
      <c r="J95">
        <f t="shared" si="11"/>
        <v>1</v>
      </c>
      <c r="K95">
        <f t="shared" si="11"/>
        <v>1</v>
      </c>
      <c r="L95">
        <f t="shared" si="11"/>
        <v>1</v>
      </c>
      <c r="M95">
        <f t="shared" si="11"/>
        <v>1.6807113925229294E-2</v>
      </c>
      <c r="N95">
        <f t="shared" si="11"/>
        <v>0.60267111853088484</v>
      </c>
      <c r="O95">
        <f t="shared" si="11"/>
        <v>9.5780260442610121E-2</v>
      </c>
      <c r="P95">
        <f t="shared" si="11"/>
        <v>0.2142629735752945</v>
      </c>
      <c r="Q95">
        <f t="shared" si="11"/>
        <v>1</v>
      </c>
      <c r="R95">
        <f t="shared" si="11"/>
        <v>1</v>
      </c>
      <c r="S95">
        <f t="shared" si="11"/>
        <v>7.3561006894340225E-2</v>
      </c>
      <c r="T95">
        <f t="shared" si="11"/>
        <v>7.478890229191798E-2</v>
      </c>
      <c r="U95">
        <f t="shared" si="11"/>
        <v>0.836952380952381</v>
      </c>
      <c r="V95">
        <f t="shared" si="11"/>
        <v>0.87425387982491043</v>
      </c>
      <c r="W95">
        <f t="shared" si="11"/>
        <v>0.40653454740224959</v>
      </c>
      <c r="X95">
        <f t="shared" si="11"/>
        <v>0.4882075471698113</v>
      </c>
      <c r="Y95">
        <f t="shared" si="11"/>
        <v>0.22234762979683972</v>
      </c>
      <c r="Z95">
        <f t="shared" si="11"/>
        <v>1</v>
      </c>
      <c r="AA95">
        <f t="shared" si="11"/>
        <v>4.8917246713070378E-2</v>
      </c>
      <c r="AB95">
        <f t="shared" si="11"/>
        <v>0.86495726495726499</v>
      </c>
      <c r="AC95">
        <f t="shared" si="11"/>
        <v>0.10119047619047619</v>
      </c>
      <c r="AD95">
        <f t="shared" si="11"/>
        <v>0.21963824289405684</v>
      </c>
      <c r="AE95">
        <f t="shared" si="11"/>
        <v>4.150157813444362E-2</v>
      </c>
      <c r="AF95">
        <f t="shared" si="11"/>
        <v>7.5319926873857398E-2</v>
      </c>
      <c r="AG95">
        <f t="shared" si="11"/>
        <v>0.14255890247539516</v>
      </c>
      <c r="AH95">
        <f t="shared" si="11"/>
        <v>1</v>
      </c>
      <c r="AI95">
        <f t="shared" si="11"/>
        <v>0</v>
      </c>
      <c r="AJ95">
        <f t="shared" si="11"/>
        <v>0</v>
      </c>
      <c r="AK95">
        <f t="shared" si="11"/>
        <v>0.3030685161832703</v>
      </c>
      <c r="AL95">
        <f t="shared" si="11"/>
        <v>0.5786516853932584</v>
      </c>
      <c r="AM95">
        <f t="shared" si="11"/>
        <v>0</v>
      </c>
      <c r="AN95">
        <f t="shared" si="11"/>
        <v>0</v>
      </c>
      <c r="AO95">
        <f t="shared" si="11"/>
        <v>0</v>
      </c>
      <c r="AP95">
        <f t="shared" si="11"/>
        <v>0</v>
      </c>
      <c r="AQ95">
        <f t="shared" si="11"/>
        <v>0</v>
      </c>
      <c r="AR95">
        <f t="shared" si="11"/>
        <v>0</v>
      </c>
    </row>
    <row r="96" spans="6:44" x14ac:dyDescent="0.3">
      <c r="F96" t="s">
        <v>5</v>
      </c>
      <c r="G96">
        <v>1086</v>
      </c>
      <c r="H96">
        <v>1086</v>
      </c>
      <c r="I96">
        <v>2003</v>
      </c>
      <c r="J96">
        <v>2003</v>
      </c>
      <c r="K96">
        <v>10974</v>
      </c>
      <c r="L96">
        <v>10974</v>
      </c>
      <c r="M96">
        <v>4562</v>
      </c>
      <c r="N96">
        <v>4562</v>
      </c>
      <c r="O96">
        <v>9278</v>
      </c>
      <c r="P96">
        <v>9278</v>
      </c>
      <c r="Q96">
        <v>9604</v>
      </c>
      <c r="R96">
        <v>9604</v>
      </c>
      <c r="S96">
        <v>71</v>
      </c>
      <c r="T96">
        <v>71</v>
      </c>
      <c r="U96">
        <v>35152</v>
      </c>
      <c r="V96">
        <v>35152</v>
      </c>
      <c r="W96">
        <v>36417</v>
      </c>
      <c r="X96">
        <v>36417</v>
      </c>
      <c r="Y96">
        <v>3140</v>
      </c>
      <c r="Z96">
        <v>3140</v>
      </c>
      <c r="AA96">
        <v>8297</v>
      </c>
      <c r="AB96">
        <v>8297</v>
      </c>
      <c r="AC96">
        <v>10879</v>
      </c>
      <c r="AD96">
        <v>10879</v>
      </c>
      <c r="AE96">
        <v>9877</v>
      </c>
      <c r="AF96">
        <v>9877</v>
      </c>
      <c r="AG96">
        <v>7716</v>
      </c>
      <c r="AH96">
        <v>7716</v>
      </c>
      <c r="AI96">
        <v>400727</v>
      </c>
      <c r="AJ96">
        <v>400727</v>
      </c>
      <c r="AK96">
        <v>11532</v>
      </c>
      <c r="AL96">
        <v>11532</v>
      </c>
      <c r="AM96">
        <v>3000</v>
      </c>
      <c r="AN96">
        <v>3000</v>
      </c>
      <c r="AO96">
        <v>4000</v>
      </c>
      <c r="AP96">
        <v>4000</v>
      </c>
      <c r="AQ96">
        <v>5000</v>
      </c>
      <c r="AR96">
        <v>5000</v>
      </c>
    </row>
    <row r="97" spans="6:44" x14ac:dyDescent="0.3">
      <c r="F97" t="s">
        <v>6</v>
      </c>
      <c r="G97">
        <v>1086</v>
      </c>
      <c r="H97">
        <v>1086</v>
      </c>
      <c r="I97">
        <v>2003</v>
      </c>
      <c r="J97">
        <v>2003</v>
      </c>
      <c r="K97">
        <v>10974</v>
      </c>
      <c r="L97">
        <v>10974</v>
      </c>
      <c r="M97">
        <v>5761</v>
      </c>
      <c r="N97">
        <v>5761</v>
      </c>
      <c r="O97">
        <v>21534</v>
      </c>
      <c r="P97">
        <v>21534</v>
      </c>
      <c r="Q97">
        <v>9604</v>
      </c>
      <c r="R97">
        <v>9604</v>
      </c>
      <c r="S97">
        <v>36699</v>
      </c>
      <c r="T97">
        <v>36699</v>
      </c>
      <c r="U97">
        <v>35152</v>
      </c>
      <c r="V97">
        <v>35152</v>
      </c>
      <c r="W97">
        <v>36417</v>
      </c>
      <c r="X97">
        <v>36417</v>
      </c>
      <c r="Y97">
        <v>3140</v>
      </c>
      <c r="Z97">
        <v>3140</v>
      </c>
      <c r="AA97">
        <v>8297</v>
      </c>
      <c r="AB97">
        <v>8297</v>
      </c>
      <c r="AC97">
        <v>10879</v>
      </c>
      <c r="AD97">
        <v>10879</v>
      </c>
      <c r="AE97">
        <v>9877</v>
      </c>
      <c r="AF97">
        <v>9877</v>
      </c>
      <c r="AG97">
        <v>7716</v>
      </c>
      <c r="AH97">
        <v>7716</v>
      </c>
      <c r="AI97">
        <v>400727</v>
      </c>
      <c r="AJ97">
        <v>400727</v>
      </c>
      <c r="AK97">
        <v>11532</v>
      </c>
      <c r="AL97">
        <v>11532</v>
      </c>
      <c r="AM97">
        <v>3000</v>
      </c>
      <c r="AN97">
        <v>3000</v>
      </c>
      <c r="AO97">
        <v>4000</v>
      </c>
      <c r="AP97">
        <v>4000</v>
      </c>
      <c r="AQ97">
        <v>5000</v>
      </c>
      <c r="AR97">
        <v>5000</v>
      </c>
    </row>
    <row r="98" spans="6:44" x14ac:dyDescent="0.3">
      <c r="F98" t="s">
        <v>7</v>
      </c>
      <c r="G98">
        <v>1.8712968332943301E-2</v>
      </c>
      <c r="H98">
        <v>1.8712968332943301E-2</v>
      </c>
      <c r="I98">
        <v>2.09079790199872E-2</v>
      </c>
      <c r="J98">
        <v>2.09079790199872E-2</v>
      </c>
      <c r="K98">
        <v>3.55936820230424E-3</v>
      </c>
      <c r="L98">
        <v>3.55936820230424E-3</v>
      </c>
      <c r="M98">
        <v>9.3714321632839104E-2</v>
      </c>
      <c r="N98">
        <v>9.3714321632839104E-2</v>
      </c>
      <c r="O98">
        <v>4.8376702439189201E-4</v>
      </c>
      <c r="P98">
        <v>4.8376702439189201E-4</v>
      </c>
      <c r="Q98">
        <v>9.2440311469554599E-4</v>
      </c>
      <c r="R98">
        <v>9.2440311469554599E-4</v>
      </c>
      <c r="S98">
        <v>8.1568020619973106E-2</v>
      </c>
      <c r="T98">
        <v>8.1568020619973106E-2</v>
      </c>
      <c r="U98">
        <v>6.1830283475066002E-4</v>
      </c>
      <c r="V98">
        <v>6.1830283475066002E-4</v>
      </c>
      <c r="W98">
        <v>3.27610610455435E-3</v>
      </c>
      <c r="X98">
        <v>3.27610610455435E-3</v>
      </c>
      <c r="Y98">
        <v>5.5089455961702297E-2</v>
      </c>
      <c r="Z98">
        <v>5.5089455961702297E-2</v>
      </c>
      <c r="AA98">
        <v>1.50622726900785E-3</v>
      </c>
      <c r="AB98">
        <v>1.50622726900785E-3</v>
      </c>
      <c r="AC98">
        <v>3.3792232823938402E-4</v>
      </c>
      <c r="AD98">
        <v>3.3792232823938402E-4</v>
      </c>
      <c r="AE98">
        <v>5.3273467559045498E-4</v>
      </c>
      <c r="AF98">
        <v>5.3273467559045498E-4</v>
      </c>
      <c r="AG98">
        <v>4.4454965693740002E-4</v>
      </c>
      <c r="AH98">
        <v>4.4454965693740002E-4</v>
      </c>
      <c r="AI98" s="1">
        <v>1.99302377500994E-5</v>
      </c>
      <c r="AJ98" s="1">
        <v>1.99302377500994E-5</v>
      </c>
      <c r="AK98" s="1">
        <v>4.1446449692715799E-3</v>
      </c>
      <c r="AL98" s="1">
        <v>4.1446449692715799E-3</v>
      </c>
      <c r="AM98">
        <v>1</v>
      </c>
      <c r="AN98">
        <v>1</v>
      </c>
      <c r="AO98">
        <v>1</v>
      </c>
      <c r="AP98">
        <v>1</v>
      </c>
      <c r="AQ98">
        <v>1</v>
      </c>
      <c r="AR98">
        <v>1</v>
      </c>
    </row>
    <row r="99" spans="6:44" x14ac:dyDescent="0.3">
      <c r="F99" t="s">
        <v>56</v>
      </c>
      <c r="G99">
        <v>4</v>
      </c>
      <c r="H99">
        <v>4</v>
      </c>
      <c r="I99">
        <v>4</v>
      </c>
      <c r="J99">
        <v>4</v>
      </c>
      <c r="K99">
        <v>4</v>
      </c>
      <c r="L99">
        <v>4</v>
      </c>
      <c r="M99">
        <v>4</v>
      </c>
      <c r="N99">
        <v>4</v>
      </c>
      <c r="O99">
        <v>4</v>
      </c>
      <c r="P99">
        <v>4</v>
      </c>
      <c r="Q99">
        <v>4</v>
      </c>
      <c r="R99">
        <v>4</v>
      </c>
      <c r="S99">
        <v>4</v>
      </c>
      <c r="T99">
        <v>4</v>
      </c>
      <c r="U99">
        <v>4</v>
      </c>
      <c r="V99">
        <v>4</v>
      </c>
      <c r="W99">
        <v>4</v>
      </c>
      <c r="X99">
        <v>4</v>
      </c>
      <c r="Y99">
        <v>4</v>
      </c>
      <c r="Z99">
        <v>4</v>
      </c>
      <c r="AA99">
        <v>4</v>
      </c>
      <c r="AB99">
        <v>4</v>
      </c>
      <c r="AC99">
        <v>4</v>
      </c>
      <c r="AD99">
        <v>4</v>
      </c>
      <c r="AE99">
        <v>4</v>
      </c>
      <c r="AF99">
        <v>4</v>
      </c>
      <c r="AG99">
        <v>4</v>
      </c>
      <c r="AH99">
        <v>4</v>
      </c>
      <c r="AI99">
        <v>4</v>
      </c>
      <c r="AJ99">
        <v>4</v>
      </c>
      <c r="AK99">
        <v>4</v>
      </c>
      <c r="AL99">
        <v>4</v>
      </c>
      <c r="AM99">
        <v>4</v>
      </c>
      <c r="AN99">
        <v>4</v>
      </c>
      <c r="AO99">
        <v>4</v>
      </c>
      <c r="AP99">
        <v>4</v>
      </c>
      <c r="AQ99">
        <v>4</v>
      </c>
      <c r="AR99">
        <v>4</v>
      </c>
    </row>
    <row r="104" spans="6:44" x14ac:dyDescent="0.3">
      <c r="F104" t="s">
        <v>27</v>
      </c>
      <c r="G104" t="s">
        <v>28</v>
      </c>
      <c r="H104" t="s">
        <v>29</v>
      </c>
      <c r="I104" t="s">
        <v>28</v>
      </c>
      <c r="J104" t="s">
        <v>30</v>
      </c>
      <c r="K104" t="s">
        <v>31</v>
      </c>
      <c r="L104" t="s">
        <v>32</v>
      </c>
      <c r="M104" t="s">
        <v>31</v>
      </c>
      <c r="N104" t="s">
        <v>33</v>
      </c>
      <c r="O104" t="s">
        <v>34</v>
      </c>
      <c r="P104" t="s">
        <v>35</v>
      </c>
      <c r="Q104" t="s">
        <v>36</v>
      </c>
      <c r="R104" t="s">
        <v>36</v>
      </c>
      <c r="S104" t="s">
        <v>42</v>
      </c>
      <c r="T104" t="s">
        <v>43</v>
      </c>
      <c r="U104" t="s">
        <v>36</v>
      </c>
      <c r="V104" t="s">
        <v>76</v>
      </c>
      <c r="W104" t="s">
        <v>45</v>
      </c>
      <c r="X104" t="s">
        <v>45</v>
      </c>
      <c r="Y104" t="s">
        <v>45</v>
      </c>
    </row>
    <row r="105" spans="6:44" x14ac:dyDescent="0.3">
      <c r="F105" t="s">
        <v>26</v>
      </c>
      <c r="G105" t="s">
        <v>14</v>
      </c>
      <c r="H105" t="s">
        <v>15</v>
      </c>
      <c r="I105" t="s">
        <v>16</v>
      </c>
      <c r="J105" t="s">
        <v>17</v>
      </c>
      <c r="K105" t="s">
        <v>18</v>
      </c>
      <c r="L105" t="s">
        <v>19</v>
      </c>
      <c r="M105" t="s">
        <v>20</v>
      </c>
      <c r="N105" t="s">
        <v>21</v>
      </c>
      <c r="O105" t="s">
        <v>23</v>
      </c>
      <c r="P105" t="s">
        <v>24</v>
      </c>
      <c r="Q105" t="s">
        <v>37</v>
      </c>
      <c r="R105" t="s">
        <v>41</v>
      </c>
      <c r="S105" t="s">
        <v>40</v>
      </c>
      <c r="T105" t="s">
        <v>39</v>
      </c>
      <c r="U105" t="s">
        <v>38</v>
      </c>
      <c r="V105" t="s">
        <v>75</v>
      </c>
      <c r="W105" t="s">
        <v>47</v>
      </c>
      <c r="X105" t="s">
        <v>48</v>
      </c>
      <c r="Y105" t="s">
        <v>49</v>
      </c>
    </row>
    <row r="106" spans="6:44" x14ac:dyDescent="0.3">
      <c r="F106" t="s">
        <v>50</v>
      </c>
      <c r="G106">
        <f>G91*100</f>
        <v>99.691889442682367</v>
      </c>
      <c r="H106">
        <f>I91*100</f>
        <v>99.904801480865856</v>
      </c>
      <c r="I106">
        <f>K91*100</f>
        <v>99.897115947028212</v>
      </c>
      <c r="J106">
        <f>M91*100</f>
        <v>99.249923085599704</v>
      </c>
      <c r="K106">
        <f>O91*100</f>
        <v>85.634551495016609</v>
      </c>
      <c r="L106">
        <f>Q91*100</f>
        <v>99.51951903935786</v>
      </c>
      <c r="M106">
        <f>S91*100</f>
        <v>85.452382618431173</v>
      </c>
      <c r="N106">
        <f>U91*100</f>
        <v>99.715949054786662</v>
      </c>
      <c r="O106">
        <f>W91*100</f>
        <v>99.902192129164362</v>
      </c>
      <c r="P106">
        <f>Y91*100</f>
        <v>99.882385893741102</v>
      </c>
      <c r="Q106">
        <f>AA91*100</f>
        <v>90.163466750349471</v>
      </c>
      <c r="R106">
        <f>AC91*100</f>
        <v>84.015603815323132</v>
      </c>
      <c r="S106">
        <f>AE91*100</f>
        <v>71.354647583871952</v>
      </c>
      <c r="T106">
        <f>AG91*100</f>
        <v>87.535315985130111</v>
      </c>
      <c r="U106">
        <f>AI91*100</f>
        <v>46.078210819316226</v>
      </c>
      <c r="V106">
        <f>AK91*100</f>
        <v>99.60703147712556</v>
      </c>
      <c r="W106">
        <f>AM91*100</f>
        <v>0</v>
      </c>
      <c r="X106">
        <f>AO91*100</f>
        <v>0</v>
      </c>
      <c r="Y106">
        <f>AQ91*100</f>
        <v>0</v>
      </c>
    </row>
    <row r="107" spans="6:44" x14ac:dyDescent="0.3">
      <c r="F107" t="s">
        <v>51</v>
      </c>
      <c r="G107">
        <f>H91*100</f>
        <v>99.691889442682367</v>
      </c>
      <c r="H107">
        <f>J91*100</f>
        <v>99.90603115887447</v>
      </c>
      <c r="I107">
        <f>L91*100</f>
        <v>99.897115947028212</v>
      </c>
      <c r="J107">
        <f>N91*100</f>
        <v>99.985138139627551</v>
      </c>
      <c r="K107">
        <f>P91*100</f>
        <v>94.522435170814219</v>
      </c>
      <c r="L107">
        <f>R91*100</f>
        <v>99.521092641879292</v>
      </c>
      <c r="M107">
        <f>T91*100</f>
        <v>87.260932224155766</v>
      </c>
      <c r="N107">
        <f>V91*100</f>
        <v>99.788656941353764</v>
      </c>
      <c r="O107">
        <f>X91*100</f>
        <v>99.933753651077183</v>
      </c>
      <c r="P107">
        <f>Z91*100</f>
        <v>99.974959356620701</v>
      </c>
      <c r="Q107">
        <f>AB91*100</f>
        <v>99.514256771343639</v>
      </c>
      <c r="R107">
        <f>AD91*100</f>
        <v>93.135559398696287</v>
      </c>
      <c r="S107">
        <f>AF91*100</f>
        <v>84.433989110432364</v>
      </c>
      <c r="T107">
        <f>AH91*100</f>
        <v>98.383934005003709</v>
      </c>
      <c r="U107">
        <f>AJ91*100</f>
        <v>46.078210819316226</v>
      </c>
      <c r="V107">
        <f>AL91*100</f>
        <v>99.821700201624736</v>
      </c>
      <c r="W107">
        <f>AN91*100</f>
        <v>0</v>
      </c>
      <c r="X107">
        <f>AP91*100</f>
        <v>0</v>
      </c>
      <c r="Y107">
        <f>AR91*100</f>
        <v>0</v>
      </c>
    </row>
    <row r="108" spans="6:44" x14ac:dyDescent="0.3">
      <c r="F108" t="s">
        <v>52</v>
      </c>
      <c r="G108">
        <f>IFERROR(((G88-H88)/G88)*100, 0)</f>
        <v>0</v>
      </c>
      <c r="H108">
        <f>IFERROR(((I88-J88)/I88)*100, 0)</f>
        <v>0</v>
      </c>
      <c r="I108">
        <f>IFERROR(((K88-L88)/K88)*100, 0)</f>
        <v>0</v>
      </c>
      <c r="J108">
        <f>IFERROR(((M88-N88)/M88)*100, 0)</f>
        <v>97.211229573071364</v>
      </c>
      <c r="K108">
        <f>IFERROR(((O88-P88)/O88)*100, 0)</f>
        <v>55.297801181242434</v>
      </c>
      <c r="L108">
        <f>IFERROR(((Q88-R88)/Q88)*100, 0)</f>
        <v>0</v>
      </c>
      <c r="M108">
        <f>IFERROR(((S88-T88)/S88)*100, 0)</f>
        <v>1.6418149751483084</v>
      </c>
      <c r="N108">
        <f>IFERROR(((U88-V88)/U88)*100, 0)</f>
        <v>4.2666666666666666</v>
      </c>
      <c r="O108">
        <f>IFERROR(((W88-X88)/W88)*100, 0)</f>
        <v>16.729155507945009</v>
      </c>
      <c r="P108">
        <f>IFERROR(((Y88-Z88)/Y88)*100, 0)</f>
        <v>77.765237020316022</v>
      </c>
      <c r="Q108">
        <f>IFERROR(((AA88-AB88)/AA88)*100, 0)</f>
        <v>94.344547563805108</v>
      </c>
      <c r="R108">
        <f>IFERROR(((AC88-AD88)/AC88)*100, 0)</f>
        <v>53.928571428571423</v>
      </c>
      <c r="S108">
        <f>IFERROR(((AE88-AF88)/AE88)*100, 0)</f>
        <v>44.899603787522665</v>
      </c>
      <c r="T108">
        <f>IFERROR(((AG88-AH88)/AG88)*100, 0)</f>
        <v>85.744109752460488</v>
      </c>
      <c r="U108">
        <f>IFERROR(((AI88-AJ88)/AI88)*100, 0)</f>
        <v>0</v>
      </c>
      <c r="V108">
        <f>IFERROR(((AK88-AL88)/AK88)*100, 0)</f>
        <v>47.625052543085324</v>
      </c>
      <c r="W108">
        <f>IFERROR(((AM88-AN88)/AM88)*100, 0)</f>
        <v>0</v>
      </c>
      <c r="X108">
        <f>IFERROR(((AO88-AP88)/AO88)*100, 0)</f>
        <v>0</v>
      </c>
      <c r="Y108">
        <f>IFERROR(((AQ88-AR88)/AQ88)*100, 0)</f>
        <v>0</v>
      </c>
    </row>
    <row r="109" spans="6:44" x14ac:dyDescent="0.3">
      <c r="F109" t="s">
        <v>62</v>
      </c>
      <c r="G109">
        <f>G95</f>
        <v>1</v>
      </c>
      <c r="H109">
        <f>I95</f>
        <v>1</v>
      </c>
      <c r="I109">
        <f>K95</f>
        <v>1</v>
      </c>
      <c r="J109">
        <f>M95</f>
        <v>1.6807113925229294E-2</v>
      </c>
      <c r="K109">
        <f>O95</f>
        <v>9.5780260442610121E-2</v>
      </c>
      <c r="L109">
        <f>Q95</f>
        <v>1</v>
      </c>
      <c r="M109">
        <f>S95</f>
        <v>7.3561006894340225E-2</v>
      </c>
      <c r="N109">
        <f>U95</f>
        <v>0.836952380952381</v>
      </c>
      <c r="O109">
        <f>W95</f>
        <v>0.40653454740224959</v>
      </c>
      <c r="P109">
        <f>Y95</f>
        <v>0.22234762979683972</v>
      </c>
      <c r="Q109">
        <f>AA95</f>
        <v>4.8917246713070378E-2</v>
      </c>
      <c r="R109">
        <f>AC95</f>
        <v>0.10119047619047619</v>
      </c>
      <c r="S109">
        <f>AE95</f>
        <v>4.150157813444362E-2</v>
      </c>
      <c r="T109">
        <f>AG95</f>
        <v>0.14255890247539516</v>
      </c>
      <c r="U109">
        <f>AI95</f>
        <v>0</v>
      </c>
      <c r="V109">
        <f>AK95</f>
        <v>0.3030685161832703</v>
      </c>
      <c r="W109">
        <f>AM95</f>
        <v>0</v>
      </c>
      <c r="X109">
        <f>AO95</f>
        <v>0</v>
      </c>
      <c r="Y109">
        <f>AQ95</f>
        <v>0</v>
      </c>
    </row>
    <row r="110" spans="6:44" x14ac:dyDescent="0.3">
      <c r="F110" t="s">
        <v>63</v>
      </c>
      <c r="G110">
        <f>H95</f>
        <v>1</v>
      </c>
      <c r="H110">
        <f>J95</f>
        <v>1</v>
      </c>
      <c r="I110">
        <f>L95</f>
        <v>1</v>
      </c>
      <c r="J110">
        <f>N95</f>
        <v>0.60267111853088484</v>
      </c>
      <c r="K110">
        <f>P95</f>
        <v>0.2142629735752945</v>
      </c>
      <c r="L110">
        <f>R95</f>
        <v>1</v>
      </c>
      <c r="M110">
        <f>T95</f>
        <v>7.478890229191798E-2</v>
      </c>
      <c r="N110">
        <f>V95</f>
        <v>0.87425387982491043</v>
      </c>
      <c r="O110">
        <f>X95</f>
        <v>0.4882075471698113</v>
      </c>
      <c r="P110">
        <f>Z95</f>
        <v>1</v>
      </c>
      <c r="Q110">
        <f>AB95</f>
        <v>0.86495726495726499</v>
      </c>
      <c r="R110">
        <f>AD95</f>
        <v>0.21963824289405684</v>
      </c>
      <c r="S110">
        <f>AF95</f>
        <v>7.5319926873857398E-2</v>
      </c>
      <c r="T110">
        <f>AH95</f>
        <v>1</v>
      </c>
      <c r="U110">
        <f>AJ95</f>
        <v>0</v>
      </c>
      <c r="V110">
        <f>AL95</f>
        <v>0.5786516853932584</v>
      </c>
      <c r="W110">
        <f>AN95</f>
        <v>0</v>
      </c>
      <c r="X110">
        <f>AP95</f>
        <v>0</v>
      </c>
      <c r="Y110">
        <f>AR95</f>
        <v>0</v>
      </c>
    </row>
    <row r="156" spans="6:44" x14ac:dyDescent="0.3">
      <c r="F156" s="7" t="s">
        <v>69</v>
      </c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</row>
    <row r="157" spans="6:44" x14ac:dyDescent="0.3">
      <c r="F157" t="s">
        <v>27</v>
      </c>
      <c r="G157" s="4" t="s">
        <v>28</v>
      </c>
      <c r="H157" s="4"/>
      <c r="I157" s="4" t="s">
        <v>66</v>
      </c>
      <c r="J157" s="4"/>
      <c r="K157" s="4" t="s">
        <v>32</v>
      </c>
      <c r="L157" s="4"/>
      <c r="M157" s="4" t="s">
        <v>66</v>
      </c>
      <c r="N157" s="4"/>
      <c r="O157" s="4" t="s">
        <v>66</v>
      </c>
      <c r="P157" s="4"/>
      <c r="Q157" s="4" t="s">
        <v>66</v>
      </c>
      <c r="R157" s="4"/>
      <c r="S157" s="4" t="s">
        <v>71</v>
      </c>
      <c r="T157" s="4"/>
      <c r="U157" s="2" t="s">
        <v>66</v>
      </c>
      <c r="V157" s="2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</row>
    <row r="158" spans="6:44" x14ac:dyDescent="0.3">
      <c r="F158" t="s">
        <v>26</v>
      </c>
      <c r="G158" s="4" t="s">
        <v>16</v>
      </c>
      <c r="H158" s="4"/>
      <c r="I158" s="4" t="s">
        <v>68</v>
      </c>
      <c r="J158" s="4"/>
      <c r="K158" s="4" t="s">
        <v>19</v>
      </c>
      <c r="L158" s="4"/>
      <c r="M158" s="4" t="s">
        <v>65</v>
      </c>
      <c r="N158" s="4"/>
      <c r="O158" s="4" t="s">
        <v>67</v>
      </c>
      <c r="P158" s="4"/>
      <c r="Q158" s="4" t="s">
        <v>73</v>
      </c>
      <c r="R158" s="4"/>
      <c r="S158" s="4" t="s">
        <v>70</v>
      </c>
      <c r="T158" s="4"/>
      <c r="U158" s="2" t="s">
        <v>72</v>
      </c>
      <c r="V158" s="2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</row>
    <row r="159" spans="6:44" x14ac:dyDescent="0.3">
      <c r="F159" t="s">
        <v>25</v>
      </c>
      <c r="G159" t="s">
        <v>1</v>
      </c>
      <c r="H159" t="s">
        <v>13</v>
      </c>
      <c r="I159" t="s">
        <v>1</v>
      </c>
      <c r="J159" t="s">
        <v>13</v>
      </c>
      <c r="K159" t="s">
        <v>1</v>
      </c>
      <c r="L159" t="s">
        <v>13</v>
      </c>
      <c r="M159" t="s">
        <v>1</v>
      </c>
      <c r="N159" t="s">
        <v>13</v>
      </c>
      <c r="O159" t="s">
        <v>1</v>
      </c>
      <c r="P159" t="s">
        <v>13</v>
      </c>
      <c r="Q159" t="s">
        <v>1</v>
      </c>
      <c r="R159" t="s">
        <v>13</v>
      </c>
      <c r="S159" t="s">
        <v>1</v>
      </c>
      <c r="T159" t="s">
        <v>13</v>
      </c>
      <c r="U159" t="s">
        <v>1</v>
      </c>
      <c r="V159" t="s">
        <v>13</v>
      </c>
    </row>
    <row r="160" spans="6:44" x14ac:dyDescent="0.3">
      <c r="F160" t="s">
        <v>4</v>
      </c>
      <c r="G160">
        <v>686</v>
      </c>
      <c r="H160">
        <v>887</v>
      </c>
      <c r="I160">
        <v>2286</v>
      </c>
      <c r="J160">
        <v>2485</v>
      </c>
      <c r="K160">
        <v>601</v>
      </c>
      <c r="L160">
        <v>601</v>
      </c>
      <c r="M160">
        <v>266</v>
      </c>
      <c r="N160">
        <v>266</v>
      </c>
      <c r="O160">
        <v>160</v>
      </c>
      <c r="P160">
        <v>160</v>
      </c>
      <c r="Q160">
        <v>2196</v>
      </c>
      <c r="R160">
        <v>2026</v>
      </c>
      <c r="S160">
        <v>218</v>
      </c>
      <c r="T160">
        <v>185</v>
      </c>
      <c r="U160">
        <v>6234</v>
      </c>
      <c r="V160">
        <v>2055</v>
      </c>
    </row>
    <row r="161" spans="6:36" x14ac:dyDescent="0.3">
      <c r="F161" t="s">
        <v>59</v>
      </c>
      <c r="G161">
        <v>666084</v>
      </c>
      <c r="H161">
        <v>685356</v>
      </c>
      <c r="I161">
        <v>161495</v>
      </c>
      <c r="J161">
        <v>163489</v>
      </c>
      <c r="K161">
        <v>124482</v>
      </c>
      <c r="L161">
        <v>124893</v>
      </c>
      <c r="M161">
        <v>30175</v>
      </c>
      <c r="N161">
        <v>30241</v>
      </c>
      <c r="O161">
        <v>12228</v>
      </c>
      <c r="P161">
        <v>12228</v>
      </c>
      <c r="Q161">
        <v>91107</v>
      </c>
      <c r="R161">
        <v>95491</v>
      </c>
      <c r="S161">
        <v>9273</v>
      </c>
      <c r="T161">
        <v>9655</v>
      </c>
      <c r="U161">
        <v>54788</v>
      </c>
      <c r="V161">
        <v>69404</v>
      </c>
    </row>
    <row r="162" spans="6:36" x14ac:dyDescent="0.3">
      <c r="F162" t="s">
        <v>3</v>
      </c>
      <c r="G162">
        <f t="shared" ref="G162:P162" si="12">G160+G161</f>
        <v>666770</v>
      </c>
      <c r="H162">
        <f t="shared" si="12"/>
        <v>686243</v>
      </c>
      <c r="I162">
        <f t="shared" si="12"/>
        <v>163781</v>
      </c>
      <c r="J162">
        <f t="shared" si="12"/>
        <v>165974</v>
      </c>
      <c r="K162">
        <f t="shared" si="12"/>
        <v>125083</v>
      </c>
      <c r="L162">
        <f t="shared" si="12"/>
        <v>125494</v>
      </c>
      <c r="M162">
        <f t="shared" si="12"/>
        <v>30441</v>
      </c>
      <c r="N162">
        <f t="shared" si="12"/>
        <v>30507</v>
      </c>
      <c r="O162">
        <f t="shared" si="12"/>
        <v>12388</v>
      </c>
      <c r="P162">
        <f t="shared" si="12"/>
        <v>12388</v>
      </c>
      <c r="Q162">
        <f t="shared" ref="Q162:R162" si="13">Q160+Q161</f>
        <v>93303</v>
      </c>
      <c r="R162">
        <f t="shared" si="13"/>
        <v>97517</v>
      </c>
      <c r="S162">
        <f t="shared" ref="S162:V162" si="14">S160+S161</f>
        <v>9491</v>
      </c>
      <c r="T162">
        <f t="shared" si="14"/>
        <v>9840</v>
      </c>
      <c r="U162">
        <f t="shared" si="14"/>
        <v>61022</v>
      </c>
      <c r="V162">
        <f t="shared" si="14"/>
        <v>71459</v>
      </c>
    </row>
    <row r="163" spans="6:36" x14ac:dyDescent="0.3">
      <c r="F163" t="s">
        <v>60</v>
      </c>
      <c r="G163">
        <f t="shared" ref="G163:P163" si="15">IFERROR(G161/G162, 0)</f>
        <v>0.99897115947028214</v>
      </c>
      <c r="H163">
        <f t="shared" si="15"/>
        <v>0.99870745493943103</v>
      </c>
      <c r="I163">
        <f t="shared" si="15"/>
        <v>0.98604233702322008</v>
      </c>
      <c r="J163">
        <f t="shared" si="15"/>
        <v>0.98502777543470665</v>
      </c>
      <c r="K163">
        <f t="shared" si="15"/>
        <v>0.99519519039357862</v>
      </c>
      <c r="L163">
        <f t="shared" si="15"/>
        <v>0.99521092641879294</v>
      </c>
      <c r="M163">
        <f t="shared" si="15"/>
        <v>0.99126178509247398</v>
      </c>
      <c r="N163">
        <f t="shared" si="15"/>
        <v>0.99128068967777883</v>
      </c>
      <c r="O163">
        <f t="shared" si="15"/>
        <v>0.98708427510494023</v>
      </c>
      <c r="P163">
        <f t="shared" si="15"/>
        <v>0.98708427510494023</v>
      </c>
      <c r="Q163">
        <f t="shared" ref="Q163:R163" si="16">IFERROR(Q161/Q162, 0)</f>
        <v>0.97646377929970096</v>
      </c>
      <c r="R163">
        <f t="shared" si="16"/>
        <v>0.979224135278977</v>
      </c>
      <c r="S163">
        <f t="shared" ref="S163:V163" si="17">IFERROR(S161/S162, 0)</f>
        <v>0.977030871351807</v>
      </c>
      <c r="T163">
        <f t="shared" si="17"/>
        <v>0.98119918699186992</v>
      </c>
      <c r="U163">
        <f t="shared" si="17"/>
        <v>0.89784012323424334</v>
      </c>
      <c r="V163">
        <f t="shared" si="17"/>
        <v>0.97124225080115867</v>
      </c>
    </row>
    <row r="164" spans="6:36" x14ac:dyDescent="0.3">
      <c r="F164" t="s">
        <v>61</v>
      </c>
      <c r="G164">
        <f t="shared" ref="G164:P164" si="18">IFERROR(G160/G162, 0)</f>
        <v>1.0288405297178937E-3</v>
      </c>
      <c r="H164">
        <f t="shared" si="18"/>
        <v>1.2925450605689238E-3</v>
      </c>
      <c r="I164">
        <f t="shared" si="18"/>
        <v>1.3957662976779969E-2</v>
      </c>
      <c r="J164">
        <f t="shared" si="18"/>
        <v>1.497222456529336E-2</v>
      </c>
      <c r="K164">
        <f t="shared" si="18"/>
        <v>4.8048096064213361E-3</v>
      </c>
      <c r="L164">
        <f t="shared" si="18"/>
        <v>4.7890735812070699E-3</v>
      </c>
      <c r="M164">
        <f t="shared" si="18"/>
        <v>8.7382149075260346E-3</v>
      </c>
      <c r="N164">
        <f t="shared" si="18"/>
        <v>8.7193103222211292E-3</v>
      </c>
      <c r="O164">
        <f t="shared" si="18"/>
        <v>1.2915724895059735E-2</v>
      </c>
      <c r="P164">
        <f t="shared" si="18"/>
        <v>1.2915724895059735E-2</v>
      </c>
      <c r="Q164">
        <f t="shared" ref="Q164:R164" si="19">IFERROR(Q160/Q162, 0)</f>
        <v>2.3536220700299027E-2</v>
      </c>
      <c r="R164">
        <f t="shared" si="19"/>
        <v>2.0775864721023E-2</v>
      </c>
      <c r="S164">
        <f t="shared" ref="S164:V164" si="20">IFERROR(S160/S162, 0)</f>
        <v>2.2969128648193025E-2</v>
      </c>
      <c r="T164">
        <f t="shared" si="20"/>
        <v>1.8800813008130083E-2</v>
      </c>
      <c r="U164">
        <f t="shared" si="20"/>
        <v>0.10215987676575661</v>
      </c>
      <c r="V164">
        <f t="shared" si="20"/>
        <v>2.8757749198841293E-2</v>
      </c>
    </row>
    <row r="165" spans="6:36" x14ac:dyDescent="0.3">
      <c r="F165" t="s">
        <v>58</v>
      </c>
      <c r="G165">
        <v>128</v>
      </c>
      <c r="H165">
        <v>128</v>
      </c>
      <c r="I165">
        <v>128</v>
      </c>
      <c r="J165">
        <v>128</v>
      </c>
      <c r="K165">
        <v>128</v>
      </c>
      <c r="L165">
        <v>128</v>
      </c>
      <c r="M165">
        <v>128</v>
      </c>
      <c r="N165">
        <v>128</v>
      </c>
      <c r="O165">
        <v>128</v>
      </c>
      <c r="P165">
        <v>128</v>
      </c>
      <c r="Q165">
        <v>128</v>
      </c>
      <c r="R165">
        <v>128</v>
      </c>
      <c r="S165">
        <v>128</v>
      </c>
      <c r="T165">
        <v>128</v>
      </c>
      <c r="U165">
        <v>128</v>
      </c>
      <c r="V165">
        <v>128</v>
      </c>
    </row>
    <row r="166" spans="6:36" x14ac:dyDescent="0.3">
      <c r="F166" t="s">
        <v>9</v>
      </c>
      <c r="G166">
        <v>686</v>
      </c>
      <c r="H166">
        <v>686</v>
      </c>
      <c r="I166">
        <v>2280</v>
      </c>
      <c r="J166">
        <v>2280</v>
      </c>
      <c r="K166">
        <v>601</v>
      </c>
      <c r="L166">
        <v>601</v>
      </c>
      <c r="M166">
        <v>266</v>
      </c>
      <c r="N166">
        <v>266</v>
      </c>
      <c r="O166">
        <v>160</v>
      </c>
      <c r="P166">
        <v>160</v>
      </c>
      <c r="Q166">
        <v>1892</v>
      </c>
      <c r="R166">
        <v>1892</v>
      </c>
      <c r="S166">
        <v>159</v>
      </c>
      <c r="T166">
        <v>159</v>
      </c>
      <c r="U166">
        <v>640</v>
      </c>
      <c r="V166">
        <v>640</v>
      </c>
    </row>
    <row r="167" spans="6:36" x14ac:dyDescent="0.3">
      <c r="F167" t="s">
        <v>8</v>
      </c>
      <c r="G167">
        <f t="shared" ref="G167:P167" si="21">IFERROR(G166/G160, 0)</f>
        <v>1</v>
      </c>
      <c r="H167">
        <f t="shared" si="21"/>
        <v>0.77339346110484786</v>
      </c>
      <c r="I167">
        <f t="shared" si="21"/>
        <v>0.99737532808398954</v>
      </c>
      <c r="J167">
        <f t="shared" si="21"/>
        <v>0.91750503018108653</v>
      </c>
      <c r="K167">
        <f t="shared" si="21"/>
        <v>1</v>
      </c>
      <c r="L167">
        <f t="shared" si="21"/>
        <v>1</v>
      </c>
      <c r="M167">
        <f t="shared" si="21"/>
        <v>1</v>
      </c>
      <c r="N167">
        <f t="shared" si="21"/>
        <v>1</v>
      </c>
      <c r="O167">
        <f t="shared" si="21"/>
        <v>1</v>
      </c>
      <c r="P167">
        <f t="shared" si="21"/>
        <v>1</v>
      </c>
      <c r="Q167">
        <f t="shared" ref="Q167:R167" si="22">IFERROR(Q166/Q160, 0)</f>
        <v>0.86156648451730422</v>
      </c>
      <c r="R167">
        <f t="shared" si="22"/>
        <v>0.93385982230997033</v>
      </c>
      <c r="S167">
        <f t="shared" ref="S167:V167" si="23">IFERROR(S166/S160, 0)</f>
        <v>0.72935779816513757</v>
      </c>
      <c r="T167">
        <f t="shared" si="23"/>
        <v>0.85945945945945945</v>
      </c>
      <c r="U167">
        <f t="shared" si="23"/>
        <v>0.10266281681103626</v>
      </c>
      <c r="V167">
        <f t="shared" si="23"/>
        <v>0.31143552311435524</v>
      </c>
    </row>
    <row r="168" spans="6:36" x14ac:dyDescent="0.3">
      <c r="F168" t="s">
        <v>5</v>
      </c>
      <c r="G168">
        <v>10974</v>
      </c>
      <c r="H168">
        <v>10974</v>
      </c>
      <c r="I168">
        <v>36476</v>
      </c>
      <c r="J168">
        <v>36476</v>
      </c>
      <c r="K168">
        <v>9604</v>
      </c>
      <c r="L168">
        <v>9604</v>
      </c>
      <c r="M168">
        <v>4253</v>
      </c>
      <c r="N168">
        <v>4253</v>
      </c>
      <c r="O168">
        <v>2559</v>
      </c>
      <c r="P168">
        <v>2559</v>
      </c>
      <c r="Q168">
        <v>30269</v>
      </c>
      <c r="R168">
        <v>30269</v>
      </c>
      <c r="S168">
        <v>2541</v>
      </c>
      <c r="T168">
        <v>2541</v>
      </c>
      <c r="U168">
        <v>10240</v>
      </c>
      <c r="V168">
        <v>10240</v>
      </c>
    </row>
    <row r="169" spans="6:36" x14ac:dyDescent="0.3">
      <c r="F169" t="s">
        <v>6</v>
      </c>
      <c r="G169">
        <v>10974</v>
      </c>
      <c r="H169">
        <v>10974</v>
      </c>
      <c r="I169">
        <v>36476</v>
      </c>
      <c r="J169">
        <v>36476</v>
      </c>
      <c r="K169">
        <v>9604</v>
      </c>
      <c r="L169">
        <v>9604</v>
      </c>
      <c r="M169">
        <v>4253</v>
      </c>
      <c r="N169">
        <v>4253</v>
      </c>
      <c r="O169">
        <v>2559</v>
      </c>
      <c r="P169">
        <v>2559</v>
      </c>
      <c r="Q169">
        <v>30269</v>
      </c>
      <c r="R169">
        <v>30269</v>
      </c>
      <c r="S169">
        <v>2541</v>
      </c>
      <c r="T169">
        <v>2541</v>
      </c>
      <c r="U169">
        <v>10240</v>
      </c>
      <c r="V169">
        <v>10240</v>
      </c>
    </row>
    <row r="170" spans="6:36" x14ac:dyDescent="0.3">
      <c r="F170" t="s">
        <v>7</v>
      </c>
      <c r="G170">
        <v>3.55936820230424E-3</v>
      </c>
      <c r="H170">
        <v>3.55936820230424E-3</v>
      </c>
      <c r="I170">
        <v>1.0716283547529299E-4</v>
      </c>
      <c r="J170">
        <v>1.0716283547529299E-4</v>
      </c>
      <c r="K170">
        <v>9.2440311469554599E-4</v>
      </c>
      <c r="L170">
        <v>9.2440311469554599E-4</v>
      </c>
      <c r="M170">
        <v>1.3588007392079399E-3</v>
      </c>
      <c r="N170">
        <v>1.3588007392079399E-3</v>
      </c>
      <c r="O170">
        <v>1.24975547764435E-3</v>
      </c>
      <c r="P170">
        <v>1.24975547764435E-3</v>
      </c>
      <c r="Q170">
        <v>9.2440311469554599E-4</v>
      </c>
      <c r="R170">
        <v>9.2440311469554599E-4</v>
      </c>
      <c r="S170">
        <v>9.2440311469554599E-4</v>
      </c>
      <c r="T170">
        <v>9.2440311469554599E-4</v>
      </c>
      <c r="U170">
        <v>8.1568020619973106E-2</v>
      </c>
      <c r="V170">
        <v>8.1568020619973106E-2</v>
      </c>
      <c r="AI170" s="1"/>
      <c r="AJ170" s="1"/>
    </row>
    <row r="171" spans="6:36" x14ac:dyDescent="0.3">
      <c r="F171" t="s">
        <v>56</v>
      </c>
      <c r="G171">
        <v>4</v>
      </c>
      <c r="H171">
        <v>4</v>
      </c>
      <c r="I171">
        <v>4</v>
      </c>
      <c r="J171">
        <v>4</v>
      </c>
      <c r="K171">
        <v>4</v>
      </c>
      <c r="L171">
        <v>4</v>
      </c>
      <c r="M171">
        <v>4</v>
      </c>
      <c r="N171">
        <v>4</v>
      </c>
      <c r="O171">
        <v>4</v>
      </c>
      <c r="P171">
        <v>4</v>
      </c>
      <c r="Q171">
        <v>4</v>
      </c>
      <c r="R171">
        <v>4</v>
      </c>
      <c r="S171">
        <v>4</v>
      </c>
      <c r="T171">
        <v>4</v>
      </c>
      <c r="U171">
        <v>4</v>
      </c>
      <c r="V171">
        <v>4</v>
      </c>
    </row>
    <row r="172" spans="6:36" x14ac:dyDescent="0.3">
      <c r="F172" t="s">
        <v>77</v>
      </c>
      <c r="G172">
        <v>0.99458258408401501</v>
      </c>
      <c r="H172">
        <v>0.99458258408401501</v>
      </c>
      <c r="I172">
        <v>0.99938137434990404</v>
      </c>
      <c r="J172">
        <v>0.99938137434990404</v>
      </c>
      <c r="K172">
        <v>0.99939327039289805</v>
      </c>
      <c r="L172">
        <v>0.99939327039289805</v>
      </c>
      <c r="M172">
        <v>0.97656686079871402</v>
      </c>
      <c r="N172">
        <v>0.97656686079871402</v>
      </c>
      <c r="O172">
        <v>0.92697750688552205</v>
      </c>
      <c r="P172">
        <v>0.92697750688552205</v>
      </c>
      <c r="Q172">
        <v>0.65126395359005196</v>
      </c>
      <c r="R172">
        <v>0.65126395359005196</v>
      </c>
      <c r="S172">
        <v>-0.75453921168305105</v>
      </c>
      <c r="T172">
        <v>-0.75453921168305105</v>
      </c>
      <c r="U172">
        <v>-0.59031282106315597</v>
      </c>
      <c r="V172">
        <v>-0.59031282106315597</v>
      </c>
    </row>
    <row r="176" spans="6:36" x14ac:dyDescent="0.3">
      <c r="F176" t="s">
        <v>27</v>
      </c>
      <c r="G176" t="s">
        <v>28</v>
      </c>
      <c r="H176" t="s">
        <v>32</v>
      </c>
      <c r="I176" t="s">
        <v>32</v>
      </c>
      <c r="J176" t="s">
        <v>32</v>
      </c>
      <c r="K176" t="s">
        <v>32</v>
      </c>
      <c r="L176" t="s">
        <v>32</v>
      </c>
      <c r="M176" t="s">
        <v>71</v>
      </c>
      <c r="N176" t="s">
        <v>32</v>
      </c>
    </row>
    <row r="177" spans="6:14" x14ac:dyDescent="0.3">
      <c r="F177" t="s">
        <v>26</v>
      </c>
      <c r="G177" t="s">
        <v>16</v>
      </c>
      <c r="H177" t="s">
        <v>68</v>
      </c>
      <c r="I177" t="s">
        <v>19</v>
      </c>
      <c r="J177" t="s">
        <v>65</v>
      </c>
      <c r="K177" t="s">
        <v>67</v>
      </c>
      <c r="L177" t="s">
        <v>73</v>
      </c>
      <c r="M177" t="s">
        <v>70</v>
      </c>
      <c r="N177" t="s">
        <v>72</v>
      </c>
    </row>
    <row r="178" spans="6:14" x14ac:dyDescent="0.3">
      <c r="F178" t="s">
        <v>50</v>
      </c>
      <c r="G178">
        <f>G163*100</f>
        <v>99.897115947028212</v>
      </c>
      <c r="H178">
        <f>I163*100</f>
        <v>98.604233702322006</v>
      </c>
      <c r="I178">
        <f>K163*100</f>
        <v>99.51951903935786</v>
      </c>
      <c r="J178">
        <f>M163*100</f>
        <v>99.126178509247396</v>
      </c>
      <c r="K178">
        <f>O163*100</f>
        <v>98.708427510494019</v>
      </c>
      <c r="L178">
        <f>Q163*100</f>
        <v>97.6463779299701</v>
      </c>
      <c r="M178">
        <f>S163*100</f>
        <v>97.703087135180695</v>
      </c>
      <c r="N178">
        <f>U163*100</f>
        <v>89.784012323424335</v>
      </c>
    </row>
    <row r="179" spans="6:14" x14ac:dyDescent="0.3">
      <c r="F179" t="s">
        <v>51</v>
      </c>
      <c r="G179">
        <f>H163*100</f>
        <v>99.870745493943105</v>
      </c>
      <c r="H179">
        <f>J163*100</f>
        <v>98.502777543470671</v>
      </c>
      <c r="I179">
        <f>L163*100</f>
        <v>99.521092641879292</v>
      </c>
      <c r="J179">
        <f>N163*100</f>
        <v>99.128068967777878</v>
      </c>
      <c r="K179">
        <f>P163*100</f>
        <v>98.708427510494019</v>
      </c>
      <c r="L179">
        <f>R163*100</f>
        <v>97.922413527897703</v>
      </c>
      <c r="M179">
        <f>T163*100</f>
        <v>98.119918699186996</v>
      </c>
      <c r="N179">
        <f>V163*100</f>
        <v>97.124225080115863</v>
      </c>
    </row>
    <row r="180" spans="6:14" x14ac:dyDescent="0.3">
      <c r="F180" t="s">
        <v>52</v>
      </c>
      <c r="G180">
        <f>IFERROR(((G160-H160)/G160)*100, 0)</f>
        <v>-29.300291545189506</v>
      </c>
      <c r="H180">
        <f>IFERROR(((I160-J160)/I160)*100, 0)</f>
        <v>-8.7051618547681535</v>
      </c>
      <c r="I180">
        <f>IFERROR(((K160-L160)/K160)*100, 0)</f>
        <v>0</v>
      </c>
      <c r="J180">
        <f>IFERROR(((M160-N160)/M160)*100, 0)</f>
        <v>0</v>
      </c>
      <c r="K180">
        <f>IFERROR(((O160-P160)/O160)*100, 0)</f>
        <v>0</v>
      </c>
      <c r="L180">
        <f>IFERROR(((Q160-R160)/Q160)*100, 0)</f>
        <v>7.7413479052823311</v>
      </c>
      <c r="M180">
        <f>IFERROR(((S160-T160)/S160)*100, 0)</f>
        <v>15.137614678899084</v>
      </c>
      <c r="N180">
        <f>IFERROR(((U160-V160)/U160)*100, 0)</f>
        <v>67.035611164581326</v>
      </c>
    </row>
    <row r="181" spans="6:14" x14ac:dyDescent="0.3">
      <c r="F181" t="s">
        <v>62</v>
      </c>
      <c r="G181">
        <f>G167</f>
        <v>1</v>
      </c>
      <c r="H181">
        <f>I167</f>
        <v>0.99737532808398954</v>
      </c>
      <c r="I181">
        <f>K167</f>
        <v>1</v>
      </c>
      <c r="J181">
        <f>M167</f>
        <v>1</v>
      </c>
      <c r="K181">
        <f>O167</f>
        <v>1</v>
      </c>
      <c r="L181">
        <f>Q167</f>
        <v>0.86156648451730422</v>
      </c>
      <c r="M181">
        <f>S167</f>
        <v>0.72935779816513757</v>
      </c>
      <c r="N181">
        <f>U167</f>
        <v>0.10266281681103626</v>
      </c>
    </row>
    <row r="182" spans="6:14" x14ac:dyDescent="0.3">
      <c r="F182" t="s">
        <v>63</v>
      </c>
      <c r="G182">
        <f>H167</f>
        <v>0.77339346110484786</v>
      </c>
      <c r="H182">
        <f>J167</f>
        <v>0.91750503018108653</v>
      </c>
      <c r="I182">
        <f>L167</f>
        <v>1</v>
      </c>
      <c r="J182">
        <f>N167</f>
        <v>1</v>
      </c>
      <c r="K182">
        <f>P167</f>
        <v>1</v>
      </c>
      <c r="L182">
        <f>R167</f>
        <v>0.93385982230997033</v>
      </c>
      <c r="M182">
        <f>T167</f>
        <v>0.85945945945945945</v>
      </c>
      <c r="N182">
        <f>V167</f>
        <v>0.31143552311435524</v>
      </c>
    </row>
    <row r="183" spans="6:14" x14ac:dyDescent="0.3">
      <c r="F183" t="s">
        <v>77</v>
      </c>
      <c r="G183">
        <f>G172</f>
        <v>0.99458258408401501</v>
      </c>
      <c r="H183">
        <f>I172</f>
        <v>0.99938137434990404</v>
      </c>
      <c r="I183">
        <f>K172</f>
        <v>0.99939327039289805</v>
      </c>
      <c r="J183">
        <f>M172</f>
        <v>0.97656686079871402</v>
      </c>
      <c r="K183">
        <f>O172</f>
        <v>0.92697750688552205</v>
      </c>
      <c r="L183">
        <f>Q172</f>
        <v>0.65126395359005196</v>
      </c>
      <c r="M183">
        <f>S172</f>
        <v>-0.75453921168305105</v>
      </c>
      <c r="N183">
        <f>U172</f>
        <v>-0.59031282106315597</v>
      </c>
    </row>
    <row r="184" spans="6:14" x14ac:dyDescent="0.3">
      <c r="F184" t="s">
        <v>79</v>
      </c>
      <c r="G184">
        <v>0.8</v>
      </c>
      <c r="H184">
        <v>0.8</v>
      </c>
      <c r="I184">
        <v>0.8</v>
      </c>
      <c r="J184">
        <v>0.8</v>
      </c>
      <c r="K184">
        <v>0.8</v>
      </c>
      <c r="L184">
        <v>0.8</v>
      </c>
      <c r="M184">
        <v>0.8</v>
      </c>
      <c r="N184">
        <v>0.8</v>
      </c>
    </row>
    <row r="185" spans="6:14" x14ac:dyDescent="0.3">
      <c r="F185" t="s">
        <v>79</v>
      </c>
      <c r="G185">
        <v>-0.8</v>
      </c>
      <c r="H185">
        <v>-0.8</v>
      </c>
      <c r="I185">
        <v>-0.8</v>
      </c>
      <c r="J185">
        <v>-0.8</v>
      </c>
      <c r="K185">
        <v>-0.8</v>
      </c>
      <c r="L185">
        <v>-0.8</v>
      </c>
      <c r="M185">
        <v>-0.8</v>
      </c>
      <c r="N185">
        <v>-0.8</v>
      </c>
    </row>
    <row r="187" spans="6:14" x14ac:dyDescent="0.3">
      <c r="F187" s="3" t="s">
        <v>74</v>
      </c>
      <c r="G187" t="s">
        <v>78</v>
      </c>
    </row>
    <row r="238" spans="1:27" x14ac:dyDescent="0.3"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</row>
    <row r="239" spans="1:27" x14ac:dyDescent="0.3">
      <c r="A239" t="s">
        <v>89</v>
      </c>
      <c r="B239" t="s">
        <v>88</v>
      </c>
      <c r="C239" t="s">
        <v>12</v>
      </c>
      <c r="D239" t="s">
        <v>87</v>
      </c>
      <c r="F239" t="s">
        <v>26</v>
      </c>
      <c r="G239" t="s">
        <v>14</v>
      </c>
      <c r="H239" t="s">
        <v>15</v>
      </c>
      <c r="I239" t="s">
        <v>16</v>
      </c>
      <c r="J239" t="s">
        <v>17</v>
      </c>
      <c r="K239" t="s">
        <v>18</v>
      </c>
      <c r="L239" t="s">
        <v>19</v>
      </c>
      <c r="M239" t="s">
        <v>20</v>
      </c>
      <c r="N239" t="s">
        <v>21</v>
      </c>
      <c r="O239" t="s">
        <v>23</v>
      </c>
      <c r="P239" t="s">
        <v>24</v>
      </c>
      <c r="Q239" t="s">
        <v>37</v>
      </c>
      <c r="R239" t="s">
        <v>40</v>
      </c>
      <c r="S239" t="s">
        <v>41</v>
      </c>
      <c r="T239" t="s">
        <v>39</v>
      </c>
      <c r="U239" t="s">
        <v>38</v>
      </c>
      <c r="V239" t="s">
        <v>70</v>
      </c>
      <c r="W239" t="s">
        <v>65</v>
      </c>
      <c r="X239" t="s">
        <v>67</v>
      </c>
      <c r="Y239" t="s">
        <v>72</v>
      </c>
      <c r="Z239" t="s">
        <v>68</v>
      </c>
      <c r="AA239" t="s">
        <v>73</v>
      </c>
    </row>
    <row r="240" spans="1:27" x14ac:dyDescent="0.3">
      <c r="A240" s="4">
        <v>4</v>
      </c>
      <c r="B240" s="4">
        <v>4</v>
      </c>
      <c r="C240" s="4">
        <v>32</v>
      </c>
      <c r="D240" s="4">
        <v>64</v>
      </c>
      <c r="F240" t="s">
        <v>52</v>
      </c>
      <c r="G240">
        <v>0</v>
      </c>
      <c r="H240">
        <v>0.25</v>
      </c>
      <c r="I240">
        <v>0.39186800235710001</v>
      </c>
      <c r="J240">
        <v>2.0439287575488099E-2</v>
      </c>
      <c r="K240">
        <v>1.1928429423459201E-2</v>
      </c>
      <c r="L240">
        <v>-1.49750415973377E-2</v>
      </c>
      <c r="M240">
        <v>-8.5560899228274197E-3</v>
      </c>
      <c r="N240">
        <v>1.5939015939015901E-2</v>
      </c>
      <c r="O240">
        <v>0.16692010761492501</v>
      </c>
      <c r="P240">
        <v>4.3452533050015403E-2</v>
      </c>
      <c r="Q240">
        <v>1.0444215339100799E-2</v>
      </c>
      <c r="R240">
        <v>-8.3762723049978405E-4</v>
      </c>
      <c r="S240">
        <v>-3.7958869882759902E-3</v>
      </c>
      <c r="T240">
        <v>8.9201877934272297E-3</v>
      </c>
      <c r="U240">
        <v>-6.4034140693055601E-3</v>
      </c>
      <c r="V240">
        <v>0.22591362126245801</v>
      </c>
      <c r="W240">
        <v>-5.8181818181818099E-2</v>
      </c>
      <c r="X240">
        <v>-1.2500000000000001E-2</v>
      </c>
      <c r="Y240">
        <v>5.0867244829886499E-3</v>
      </c>
      <c r="Z240">
        <v>0.23249055507120001</v>
      </c>
      <c r="AA240">
        <v>-0.14747244393766601</v>
      </c>
    </row>
    <row r="241" spans="1:38" x14ac:dyDescent="0.3">
      <c r="A241" s="4"/>
      <c r="B241" s="4"/>
      <c r="C241" s="4"/>
      <c r="D241" s="4"/>
      <c r="F241" t="s">
        <v>80</v>
      </c>
      <c r="G241">
        <f>AVERAGE(G240:AA240)</f>
        <v>5.3841921808640371E-2</v>
      </c>
      <c r="H241">
        <f>G241</f>
        <v>5.3841921808640371E-2</v>
      </c>
      <c r="I241">
        <f t="shared" ref="I241:AA241" si="24">H241</f>
        <v>5.3841921808640371E-2</v>
      </c>
      <c r="J241">
        <f t="shared" si="24"/>
        <v>5.3841921808640371E-2</v>
      </c>
      <c r="K241">
        <f t="shared" si="24"/>
        <v>5.3841921808640371E-2</v>
      </c>
      <c r="L241">
        <f t="shared" si="24"/>
        <v>5.3841921808640371E-2</v>
      </c>
      <c r="M241">
        <f t="shared" si="24"/>
        <v>5.3841921808640371E-2</v>
      </c>
      <c r="N241">
        <f t="shared" si="24"/>
        <v>5.3841921808640371E-2</v>
      </c>
      <c r="O241">
        <f t="shared" si="24"/>
        <v>5.3841921808640371E-2</v>
      </c>
      <c r="P241">
        <f t="shared" si="24"/>
        <v>5.3841921808640371E-2</v>
      </c>
      <c r="Q241">
        <f t="shared" si="24"/>
        <v>5.3841921808640371E-2</v>
      </c>
      <c r="R241">
        <f t="shared" si="24"/>
        <v>5.3841921808640371E-2</v>
      </c>
      <c r="S241">
        <f t="shared" si="24"/>
        <v>5.3841921808640371E-2</v>
      </c>
      <c r="T241">
        <f t="shared" si="24"/>
        <v>5.3841921808640371E-2</v>
      </c>
      <c r="U241">
        <f t="shared" si="24"/>
        <v>5.3841921808640371E-2</v>
      </c>
      <c r="V241">
        <f t="shared" si="24"/>
        <v>5.3841921808640371E-2</v>
      </c>
      <c r="W241">
        <f t="shared" si="24"/>
        <v>5.3841921808640371E-2</v>
      </c>
      <c r="X241">
        <f t="shared" si="24"/>
        <v>5.3841921808640371E-2</v>
      </c>
      <c r="Y241">
        <f t="shared" si="24"/>
        <v>5.3841921808640371E-2</v>
      </c>
      <c r="Z241">
        <f t="shared" si="24"/>
        <v>5.3841921808640371E-2</v>
      </c>
      <c r="AA241">
        <f t="shared" si="24"/>
        <v>5.3841921808640371E-2</v>
      </c>
    </row>
    <row r="242" spans="1:38" x14ac:dyDescent="0.3">
      <c r="A242" s="4"/>
      <c r="B242" s="4"/>
      <c r="C242" s="4"/>
      <c r="D242" s="4">
        <v>128</v>
      </c>
      <c r="F242" t="s">
        <v>52</v>
      </c>
      <c r="G242">
        <v>0</v>
      </c>
      <c r="H242">
        <v>0.25</v>
      </c>
      <c r="I242">
        <v>0.30819092516204999</v>
      </c>
      <c r="J242">
        <v>2.41562183869286E-2</v>
      </c>
      <c r="K242">
        <v>1.17296222664015E-2</v>
      </c>
      <c r="L242">
        <v>0</v>
      </c>
      <c r="M242">
        <v>-4.2221228050553601E-3</v>
      </c>
      <c r="N242">
        <v>3.11850311850311E-3</v>
      </c>
      <c r="O242">
        <v>0.137326003041291</v>
      </c>
      <c r="P242">
        <v>4.3116317226353902E-2</v>
      </c>
      <c r="Q242">
        <v>8.0909050159128602E-3</v>
      </c>
      <c r="R242">
        <v>-2.7920907683326099E-3</v>
      </c>
      <c r="S242">
        <v>-8.3605612146838305E-3</v>
      </c>
      <c r="T242">
        <v>5.0704225352112596E-3</v>
      </c>
      <c r="U242">
        <v>-7.7484768244924403E-3</v>
      </c>
      <c r="V242">
        <v>0.245847176079734</v>
      </c>
      <c r="W242">
        <v>-6.5454545454545404E-2</v>
      </c>
      <c r="X242">
        <v>-6.2500000000000003E-3</v>
      </c>
      <c r="Y242">
        <v>-1.62608405603735E-2</v>
      </c>
      <c r="Z242">
        <v>0.210985178727114</v>
      </c>
      <c r="AA242">
        <v>-0.16457620676548801</v>
      </c>
    </row>
    <row r="243" spans="1:38" x14ac:dyDescent="0.3">
      <c r="A243" s="4"/>
      <c r="B243" s="4"/>
      <c r="C243" s="4"/>
      <c r="D243" s="4"/>
      <c r="F243" t="s">
        <v>81</v>
      </c>
      <c r="G243">
        <f>AVERAGE(G242:AA242)</f>
        <v>4.6284115579358534E-2</v>
      </c>
      <c r="H243">
        <f>G243</f>
        <v>4.6284115579358534E-2</v>
      </c>
      <c r="I243">
        <f t="shared" ref="I243:AA243" si="25">H243</f>
        <v>4.6284115579358534E-2</v>
      </c>
      <c r="J243">
        <f t="shared" si="25"/>
        <v>4.6284115579358534E-2</v>
      </c>
      <c r="K243">
        <f t="shared" si="25"/>
        <v>4.6284115579358534E-2</v>
      </c>
      <c r="L243">
        <f t="shared" si="25"/>
        <v>4.6284115579358534E-2</v>
      </c>
      <c r="M243">
        <f t="shared" si="25"/>
        <v>4.6284115579358534E-2</v>
      </c>
      <c r="N243">
        <f t="shared" si="25"/>
        <v>4.6284115579358534E-2</v>
      </c>
      <c r="O243">
        <f t="shared" si="25"/>
        <v>4.6284115579358534E-2</v>
      </c>
      <c r="P243">
        <f t="shared" si="25"/>
        <v>4.6284115579358534E-2</v>
      </c>
      <c r="Q243">
        <f t="shared" si="25"/>
        <v>4.6284115579358534E-2</v>
      </c>
      <c r="R243">
        <f t="shared" si="25"/>
        <v>4.6284115579358534E-2</v>
      </c>
      <c r="S243">
        <f t="shared" si="25"/>
        <v>4.6284115579358534E-2</v>
      </c>
      <c r="T243">
        <f t="shared" si="25"/>
        <v>4.6284115579358534E-2</v>
      </c>
      <c r="U243">
        <f t="shared" si="25"/>
        <v>4.6284115579358534E-2</v>
      </c>
      <c r="V243">
        <f t="shared" si="25"/>
        <v>4.6284115579358534E-2</v>
      </c>
      <c r="W243">
        <f t="shared" si="25"/>
        <v>4.6284115579358534E-2</v>
      </c>
      <c r="X243">
        <f t="shared" si="25"/>
        <v>4.6284115579358534E-2</v>
      </c>
      <c r="Y243">
        <f t="shared" si="25"/>
        <v>4.6284115579358534E-2</v>
      </c>
      <c r="Z243">
        <f t="shared" si="25"/>
        <v>4.6284115579358534E-2</v>
      </c>
      <c r="AA243">
        <f t="shared" si="25"/>
        <v>4.6284115579358534E-2</v>
      </c>
    </row>
    <row r="244" spans="1:38" x14ac:dyDescent="0.3">
      <c r="A244" s="4"/>
      <c r="B244" s="4"/>
      <c r="C244" s="4"/>
      <c r="D244" s="4">
        <v>256</v>
      </c>
      <c r="F244" t="s">
        <v>52</v>
      </c>
      <c r="G244">
        <v>0</v>
      </c>
      <c r="H244">
        <v>0.25</v>
      </c>
      <c r="I244">
        <v>0.31113730111962201</v>
      </c>
      <c r="J244">
        <v>2.3167591428834101E-2</v>
      </c>
      <c r="K244">
        <v>1.28230616302186E-2</v>
      </c>
      <c r="L244">
        <v>0</v>
      </c>
      <c r="M244">
        <v>-4.9211497595347204E-3</v>
      </c>
      <c r="N244">
        <v>6.93000693000693E-4</v>
      </c>
      <c r="O244">
        <v>0.13954848520294699</v>
      </c>
      <c r="P244">
        <v>3.9485186330809399E-2</v>
      </c>
      <c r="Q244">
        <v>8.1133174951813092E-3</v>
      </c>
      <c r="R244">
        <v>-1.0660710206360799E-3</v>
      </c>
      <c r="S244">
        <v>-1.0955218143378799E-2</v>
      </c>
      <c r="T244">
        <v>3.47417840375586E-3</v>
      </c>
      <c r="U244">
        <v>-7.9701960537028292E-3</v>
      </c>
      <c r="V244">
        <v>0.25249169435215901</v>
      </c>
      <c r="W244">
        <v>-0.105454545454545</v>
      </c>
      <c r="X244">
        <v>-1.8749999999999999E-2</v>
      </c>
      <c r="Y244">
        <v>-2.05970647098065E-2</v>
      </c>
      <c r="Z244">
        <v>0.20924149956408</v>
      </c>
      <c r="AA244">
        <v>-0.181299885974914</v>
      </c>
    </row>
    <row r="245" spans="1:38" x14ac:dyDescent="0.3">
      <c r="A245" s="4"/>
      <c r="B245" s="4"/>
      <c r="C245" s="4"/>
      <c r="D245" s="4"/>
      <c r="F245" t="s">
        <v>82</v>
      </c>
      <c r="G245">
        <f>AVERAGE(G244:AA244)</f>
        <v>4.2817199290670946E-2</v>
      </c>
      <c r="H245">
        <f>G245</f>
        <v>4.2817199290670946E-2</v>
      </c>
      <c r="I245">
        <f t="shared" ref="I245:AA245" si="26">H245</f>
        <v>4.2817199290670946E-2</v>
      </c>
      <c r="J245">
        <f t="shared" si="26"/>
        <v>4.2817199290670946E-2</v>
      </c>
      <c r="K245">
        <f t="shared" si="26"/>
        <v>4.2817199290670946E-2</v>
      </c>
      <c r="L245">
        <f t="shared" si="26"/>
        <v>4.2817199290670946E-2</v>
      </c>
      <c r="M245">
        <f t="shared" si="26"/>
        <v>4.2817199290670946E-2</v>
      </c>
      <c r="N245">
        <f t="shared" si="26"/>
        <v>4.2817199290670946E-2</v>
      </c>
      <c r="O245">
        <f t="shared" si="26"/>
        <v>4.2817199290670946E-2</v>
      </c>
      <c r="P245">
        <f t="shared" si="26"/>
        <v>4.2817199290670946E-2</v>
      </c>
      <c r="Q245">
        <f t="shared" si="26"/>
        <v>4.2817199290670946E-2</v>
      </c>
      <c r="R245">
        <f t="shared" si="26"/>
        <v>4.2817199290670946E-2</v>
      </c>
      <c r="S245">
        <f t="shared" si="26"/>
        <v>4.2817199290670946E-2</v>
      </c>
      <c r="T245">
        <f t="shared" si="26"/>
        <v>4.2817199290670946E-2</v>
      </c>
      <c r="U245">
        <f t="shared" si="26"/>
        <v>4.2817199290670946E-2</v>
      </c>
      <c r="V245">
        <f t="shared" si="26"/>
        <v>4.2817199290670946E-2</v>
      </c>
      <c r="W245">
        <f t="shared" si="26"/>
        <v>4.2817199290670946E-2</v>
      </c>
      <c r="X245">
        <f t="shared" si="26"/>
        <v>4.2817199290670946E-2</v>
      </c>
      <c r="Y245">
        <f t="shared" si="26"/>
        <v>4.2817199290670946E-2</v>
      </c>
      <c r="Z245">
        <f t="shared" si="26"/>
        <v>4.2817199290670946E-2</v>
      </c>
      <c r="AA245">
        <f t="shared" si="26"/>
        <v>4.2817199290670946E-2</v>
      </c>
    </row>
    <row r="246" spans="1:38" x14ac:dyDescent="0.3">
      <c r="A246" s="4"/>
      <c r="B246" s="4"/>
      <c r="C246" s="4"/>
      <c r="D246" s="4">
        <v>512</v>
      </c>
      <c r="F246" t="s">
        <v>52</v>
      </c>
      <c r="G246">
        <v>0</v>
      </c>
      <c r="H246">
        <v>0.25</v>
      </c>
      <c r="I246">
        <v>0.31290512669416598</v>
      </c>
      <c r="J246">
        <v>2.70148064130468E-2</v>
      </c>
      <c r="K246">
        <v>1.53081510934393E-2</v>
      </c>
      <c r="L246">
        <v>0</v>
      </c>
      <c r="M246">
        <v>-5.8438653394474798E-3</v>
      </c>
      <c r="N246">
        <v>3.4650034650034601E-3</v>
      </c>
      <c r="O246">
        <v>0.11919522751198899</v>
      </c>
      <c r="P246">
        <v>4.2000080691797601E-2</v>
      </c>
      <c r="Q246">
        <v>4.5497332914967003E-3</v>
      </c>
      <c r="R246">
        <v>-1.8783156077873901E-3</v>
      </c>
      <c r="S246">
        <v>-7.15933115510282E-3</v>
      </c>
      <c r="T246">
        <v>8.8262910798122002E-3</v>
      </c>
      <c r="U246">
        <v>-7.7428829907279602E-3</v>
      </c>
      <c r="V246">
        <v>0.24252491694352099</v>
      </c>
      <c r="W246">
        <v>-5.8181818181818099E-2</v>
      </c>
      <c r="X246">
        <v>-6.2500000000000003E-3</v>
      </c>
      <c r="Y246">
        <v>-2.81854569713142E-2</v>
      </c>
      <c r="Z246">
        <v>0.216797442603894</v>
      </c>
      <c r="AA246">
        <v>-0.16571645762067599</v>
      </c>
    </row>
    <row r="247" spans="1:38" x14ac:dyDescent="0.3">
      <c r="A247" s="4"/>
      <c r="B247" s="4"/>
      <c r="C247" s="4"/>
      <c r="D247" s="4"/>
      <c r="F247" t="s">
        <v>83</v>
      </c>
      <c r="G247">
        <f>AVERAGE(G246:AA246)</f>
        <v>4.579184056768057E-2</v>
      </c>
      <c r="H247">
        <f>G247</f>
        <v>4.579184056768057E-2</v>
      </c>
      <c r="I247">
        <f t="shared" ref="I247:AA247" si="27">H247</f>
        <v>4.579184056768057E-2</v>
      </c>
      <c r="J247">
        <f t="shared" si="27"/>
        <v>4.579184056768057E-2</v>
      </c>
      <c r="K247">
        <f t="shared" si="27"/>
        <v>4.579184056768057E-2</v>
      </c>
      <c r="L247">
        <f t="shared" si="27"/>
        <v>4.579184056768057E-2</v>
      </c>
      <c r="M247">
        <f t="shared" si="27"/>
        <v>4.579184056768057E-2</v>
      </c>
      <c r="N247">
        <f t="shared" si="27"/>
        <v>4.579184056768057E-2</v>
      </c>
      <c r="O247">
        <f t="shared" si="27"/>
        <v>4.579184056768057E-2</v>
      </c>
      <c r="P247">
        <f t="shared" si="27"/>
        <v>4.579184056768057E-2</v>
      </c>
      <c r="Q247">
        <f t="shared" si="27"/>
        <v>4.579184056768057E-2</v>
      </c>
      <c r="R247">
        <f t="shared" si="27"/>
        <v>4.579184056768057E-2</v>
      </c>
      <c r="S247">
        <f t="shared" si="27"/>
        <v>4.579184056768057E-2</v>
      </c>
      <c r="T247">
        <f t="shared" si="27"/>
        <v>4.579184056768057E-2</v>
      </c>
      <c r="U247">
        <f t="shared" si="27"/>
        <v>4.579184056768057E-2</v>
      </c>
      <c r="V247">
        <f t="shared" si="27"/>
        <v>4.579184056768057E-2</v>
      </c>
      <c r="W247">
        <f t="shared" si="27"/>
        <v>4.579184056768057E-2</v>
      </c>
      <c r="X247">
        <f t="shared" si="27"/>
        <v>4.579184056768057E-2</v>
      </c>
      <c r="Y247">
        <f t="shared" si="27"/>
        <v>4.579184056768057E-2</v>
      </c>
      <c r="Z247">
        <f t="shared" si="27"/>
        <v>4.579184056768057E-2</v>
      </c>
      <c r="AA247">
        <f t="shared" si="27"/>
        <v>4.579184056768057E-2</v>
      </c>
    </row>
    <row r="248" spans="1:38" x14ac:dyDescent="0.3">
      <c r="A248" s="4"/>
      <c r="B248" s="4"/>
      <c r="C248" s="4"/>
      <c r="D248" s="4">
        <v>1024</v>
      </c>
      <c r="F248" t="s">
        <v>52</v>
      </c>
      <c r="G248">
        <v>0</v>
      </c>
      <c r="H248">
        <v>0.25</v>
      </c>
      <c r="I248">
        <v>0.31054802592810798</v>
      </c>
      <c r="J248">
        <v>2.4868949449740899E-2</v>
      </c>
      <c r="K248">
        <v>1.4985089463220601E-2</v>
      </c>
      <c r="L248">
        <v>0</v>
      </c>
      <c r="M248">
        <v>-4.2221228050553601E-3</v>
      </c>
      <c r="N248">
        <v>2.1136521136521098E-2</v>
      </c>
      <c r="O248">
        <v>0.13755994853199199</v>
      </c>
      <c r="P248">
        <v>3.8234463466788597E-2</v>
      </c>
      <c r="Q248">
        <v>6.7237437805370004E-3</v>
      </c>
      <c r="R248">
        <v>-4.26428408254435E-3</v>
      </c>
      <c r="S248">
        <v>-1.09071689409955E-2</v>
      </c>
      <c r="T248">
        <v>-1.69014084507042E-3</v>
      </c>
      <c r="U248">
        <v>-7.8328928613019093E-3</v>
      </c>
      <c r="V248">
        <v>0.235880398671096</v>
      </c>
      <c r="W248">
        <v>-6.9090909090908995E-2</v>
      </c>
      <c r="X248">
        <v>-1.2500000000000001E-2</v>
      </c>
      <c r="Y248">
        <v>-1.9429619746497599E-2</v>
      </c>
      <c r="Z248">
        <v>0.23423423423423401</v>
      </c>
      <c r="AA248">
        <v>-0.16457620676548801</v>
      </c>
    </row>
    <row r="249" spans="1:38" x14ac:dyDescent="0.3">
      <c r="A249" s="4"/>
      <c r="B249" s="4"/>
      <c r="C249" s="4"/>
      <c r="D249" s="4"/>
      <c r="F249" t="s">
        <v>84</v>
      </c>
      <c r="G249">
        <f>AVERAGE(G248:AA248)</f>
        <v>4.6650382358303613E-2</v>
      </c>
      <c r="H249">
        <f>G249</f>
        <v>4.6650382358303613E-2</v>
      </c>
      <c r="I249">
        <f t="shared" ref="I249:AA249" si="28">H249</f>
        <v>4.6650382358303613E-2</v>
      </c>
      <c r="J249">
        <f t="shared" si="28"/>
        <v>4.6650382358303613E-2</v>
      </c>
      <c r="K249">
        <f t="shared" si="28"/>
        <v>4.6650382358303613E-2</v>
      </c>
      <c r="L249">
        <f t="shared" si="28"/>
        <v>4.6650382358303613E-2</v>
      </c>
      <c r="M249">
        <f t="shared" si="28"/>
        <v>4.6650382358303613E-2</v>
      </c>
      <c r="N249">
        <f t="shared" si="28"/>
        <v>4.6650382358303613E-2</v>
      </c>
      <c r="O249">
        <f t="shared" si="28"/>
        <v>4.6650382358303613E-2</v>
      </c>
      <c r="P249">
        <f t="shared" si="28"/>
        <v>4.6650382358303613E-2</v>
      </c>
      <c r="Q249">
        <f t="shared" si="28"/>
        <v>4.6650382358303613E-2</v>
      </c>
      <c r="R249">
        <f t="shared" si="28"/>
        <v>4.6650382358303613E-2</v>
      </c>
      <c r="S249">
        <f t="shared" si="28"/>
        <v>4.6650382358303613E-2</v>
      </c>
      <c r="T249">
        <f t="shared" si="28"/>
        <v>4.6650382358303613E-2</v>
      </c>
      <c r="U249">
        <f t="shared" si="28"/>
        <v>4.6650382358303613E-2</v>
      </c>
      <c r="V249">
        <f t="shared" si="28"/>
        <v>4.6650382358303613E-2</v>
      </c>
      <c r="W249">
        <f t="shared" si="28"/>
        <v>4.6650382358303613E-2</v>
      </c>
      <c r="X249">
        <f t="shared" si="28"/>
        <v>4.6650382358303613E-2</v>
      </c>
      <c r="Y249">
        <f t="shared" si="28"/>
        <v>4.6650382358303613E-2</v>
      </c>
      <c r="Z249">
        <f t="shared" si="28"/>
        <v>4.6650382358303613E-2</v>
      </c>
      <c r="AA249">
        <f t="shared" si="28"/>
        <v>4.6650382358303613E-2</v>
      </c>
    </row>
    <row r="250" spans="1:38" x14ac:dyDescent="0.3">
      <c r="A250" s="4"/>
      <c r="B250" s="4"/>
      <c r="C250" s="4"/>
      <c r="D250" s="4">
        <v>2048</v>
      </c>
      <c r="F250" t="s">
        <v>52</v>
      </c>
      <c r="G250">
        <v>0</v>
      </c>
      <c r="H250">
        <v>0.25</v>
      </c>
      <c r="I250">
        <v>0.32645845609899798</v>
      </c>
      <c r="J250">
        <v>2.2217283345084399E-2</v>
      </c>
      <c r="K250">
        <v>1.5556660039761401E-2</v>
      </c>
      <c r="L250">
        <v>0</v>
      </c>
      <c r="M250">
        <v>-5.25668269768482E-3</v>
      </c>
      <c r="N250">
        <v>-1.3860013860013799E-3</v>
      </c>
      <c r="O250">
        <v>0.115101181424728</v>
      </c>
      <c r="P250">
        <v>3.8113425770270402E-2</v>
      </c>
      <c r="Q250">
        <v>9.6373660854363701E-4</v>
      </c>
      <c r="R250">
        <v>-1.34528009746935E-3</v>
      </c>
      <c r="S250">
        <v>-6.1502979050547697E-3</v>
      </c>
      <c r="T250">
        <v>-1.0328638497652501E-3</v>
      </c>
      <c r="U250">
        <v>-7.8537426053331607E-3</v>
      </c>
      <c r="V250">
        <v>0.245847176079734</v>
      </c>
      <c r="W250">
        <v>-9.0909090909090898E-2</v>
      </c>
      <c r="X250">
        <v>-1.2500000000000001E-2</v>
      </c>
      <c r="Y250">
        <v>-1.6094062708472301E-2</v>
      </c>
      <c r="Z250">
        <v>0.213310084277826</v>
      </c>
      <c r="AA250">
        <v>-0.17673888255416101</v>
      </c>
    </row>
    <row r="251" spans="1:38" x14ac:dyDescent="0.3">
      <c r="A251" s="4"/>
      <c r="B251" s="4"/>
      <c r="C251" s="4"/>
      <c r="D251" s="4"/>
      <c r="F251" t="s">
        <v>85</v>
      </c>
      <c r="G251">
        <f>AVERAGE(G250:AA250)</f>
        <v>4.3252433282472046E-2</v>
      </c>
      <c r="H251">
        <f>G251</f>
        <v>4.3252433282472046E-2</v>
      </c>
      <c r="I251">
        <f t="shared" ref="I251:Z251" si="29">H251</f>
        <v>4.3252433282472046E-2</v>
      </c>
      <c r="J251">
        <f t="shared" si="29"/>
        <v>4.3252433282472046E-2</v>
      </c>
      <c r="K251">
        <f t="shared" si="29"/>
        <v>4.3252433282472046E-2</v>
      </c>
      <c r="L251">
        <f t="shared" si="29"/>
        <v>4.3252433282472046E-2</v>
      </c>
      <c r="M251">
        <f t="shared" si="29"/>
        <v>4.3252433282472046E-2</v>
      </c>
      <c r="N251">
        <f t="shared" si="29"/>
        <v>4.3252433282472046E-2</v>
      </c>
      <c r="O251">
        <f t="shared" si="29"/>
        <v>4.3252433282472046E-2</v>
      </c>
      <c r="P251">
        <f t="shared" si="29"/>
        <v>4.3252433282472046E-2</v>
      </c>
      <c r="Q251">
        <f t="shared" si="29"/>
        <v>4.3252433282472046E-2</v>
      </c>
      <c r="R251">
        <f t="shared" si="29"/>
        <v>4.3252433282472046E-2</v>
      </c>
      <c r="S251">
        <f t="shared" si="29"/>
        <v>4.3252433282472046E-2</v>
      </c>
      <c r="T251">
        <f t="shared" si="29"/>
        <v>4.3252433282472046E-2</v>
      </c>
      <c r="U251">
        <f t="shared" si="29"/>
        <v>4.3252433282472046E-2</v>
      </c>
      <c r="V251">
        <f t="shared" si="29"/>
        <v>4.3252433282472046E-2</v>
      </c>
      <c r="W251">
        <f t="shared" si="29"/>
        <v>4.3252433282472046E-2</v>
      </c>
      <c r="X251">
        <f t="shared" si="29"/>
        <v>4.3252433282472046E-2</v>
      </c>
      <c r="Y251">
        <f t="shared" si="29"/>
        <v>4.3252433282472046E-2</v>
      </c>
      <c r="Z251">
        <f t="shared" si="29"/>
        <v>4.3252433282472046E-2</v>
      </c>
      <c r="AA251">
        <f>Z251</f>
        <v>4.3252433282472046E-2</v>
      </c>
    </row>
    <row r="252" spans="1:38" x14ac:dyDescent="0.3">
      <c r="A252" s="4"/>
      <c r="B252" s="4"/>
      <c r="C252" s="4"/>
      <c r="D252" s="4" t="s">
        <v>86</v>
      </c>
      <c r="E252" s="4"/>
      <c r="F252" s="4"/>
      <c r="G252">
        <f>AVERAGE(G241,G243,G245,G247,G249,G251)</f>
        <v>4.6439648814521013E-2</v>
      </c>
    </row>
    <row r="253" spans="1:38" x14ac:dyDescent="0.3">
      <c r="A253" s="4"/>
      <c r="B253" s="4"/>
    </row>
    <row r="254" spans="1:38" x14ac:dyDescent="0.3">
      <c r="A254" s="4"/>
      <c r="B254" s="4"/>
      <c r="C254" s="4">
        <v>64</v>
      </c>
      <c r="D254" s="4">
        <v>64</v>
      </c>
      <c r="F254" t="s">
        <v>52</v>
      </c>
      <c r="G254">
        <v>0</v>
      </c>
      <c r="H254">
        <v>9.3525179856115095E-2</v>
      </c>
      <c r="I254">
        <v>0.37918552036198999</v>
      </c>
      <c r="J254">
        <v>-0.25112545018007199</v>
      </c>
      <c r="K254">
        <v>-4.4548395558275701E-2</v>
      </c>
      <c r="L254">
        <v>0</v>
      </c>
      <c r="M254">
        <v>-1.2432923789695899E-2</v>
      </c>
      <c r="N254">
        <v>1.98321891685736E-2</v>
      </c>
      <c r="O254">
        <v>0.376465284039675</v>
      </c>
      <c r="P254">
        <v>0.15450643776824</v>
      </c>
      <c r="Q254">
        <v>-2.0233379723798298E-2</v>
      </c>
      <c r="R254">
        <v>-6.13973182780522E-3</v>
      </c>
      <c r="S254">
        <v>1.67610770543959E-2</v>
      </c>
      <c r="T254">
        <v>2.2258064516129002E-2</v>
      </c>
      <c r="U254">
        <v>8.1131374073852502E-4</v>
      </c>
      <c r="V254">
        <v>0.40225563909774398</v>
      </c>
      <c r="W254">
        <v>0</v>
      </c>
      <c r="X254">
        <v>0</v>
      </c>
      <c r="Y254">
        <v>8.5305448541552007E-3</v>
      </c>
      <c r="Z254">
        <v>9.0909090909090898E-2</v>
      </c>
      <c r="AA254">
        <v>2.63522884882108E-2</v>
      </c>
      <c r="AI254" s="1"/>
      <c r="AJ254" s="1"/>
      <c r="AK254" s="1"/>
      <c r="AL254" s="1"/>
    </row>
    <row r="255" spans="1:38" x14ac:dyDescent="0.3">
      <c r="A255" s="4"/>
      <c r="B255" s="4"/>
      <c r="C255" s="4"/>
      <c r="D255" s="4"/>
      <c r="F255" t="s">
        <v>80</v>
      </c>
      <c r="G255">
        <f>AVERAGE(G254:AA254)</f>
        <v>5.9852988036924328E-2</v>
      </c>
      <c r="H255">
        <f>G255</f>
        <v>5.9852988036924328E-2</v>
      </c>
      <c r="I255">
        <f t="shared" ref="I255:AA255" si="30">H255</f>
        <v>5.9852988036924328E-2</v>
      </c>
      <c r="J255">
        <f t="shared" si="30"/>
        <v>5.9852988036924328E-2</v>
      </c>
      <c r="K255">
        <f t="shared" si="30"/>
        <v>5.9852988036924328E-2</v>
      </c>
      <c r="L255">
        <f t="shared" si="30"/>
        <v>5.9852988036924328E-2</v>
      </c>
      <c r="M255">
        <f t="shared" si="30"/>
        <v>5.9852988036924328E-2</v>
      </c>
      <c r="N255">
        <f t="shared" si="30"/>
        <v>5.9852988036924328E-2</v>
      </c>
      <c r="O255">
        <f t="shared" si="30"/>
        <v>5.9852988036924328E-2</v>
      </c>
      <c r="P255">
        <f t="shared" si="30"/>
        <v>5.9852988036924328E-2</v>
      </c>
      <c r="Q255">
        <f t="shared" si="30"/>
        <v>5.9852988036924328E-2</v>
      </c>
      <c r="R255">
        <f t="shared" si="30"/>
        <v>5.9852988036924328E-2</v>
      </c>
      <c r="S255">
        <f t="shared" si="30"/>
        <v>5.9852988036924328E-2</v>
      </c>
      <c r="T255">
        <f t="shared" si="30"/>
        <v>5.9852988036924328E-2</v>
      </c>
      <c r="U255">
        <f t="shared" si="30"/>
        <v>5.9852988036924328E-2</v>
      </c>
      <c r="V255">
        <f t="shared" si="30"/>
        <v>5.9852988036924328E-2</v>
      </c>
      <c r="W255">
        <f t="shared" si="30"/>
        <v>5.9852988036924328E-2</v>
      </c>
      <c r="X255">
        <f t="shared" si="30"/>
        <v>5.9852988036924328E-2</v>
      </c>
      <c r="Y255">
        <f t="shared" si="30"/>
        <v>5.9852988036924328E-2</v>
      </c>
      <c r="Z255">
        <f t="shared" si="30"/>
        <v>5.9852988036924328E-2</v>
      </c>
      <c r="AA255">
        <f t="shared" si="30"/>
        <v>5.9852988036924328E-2</v>
      </c>
      <c r="AI255" s="1"/>
      <c r="AJ255" s="1"/>
      <c r="AK255" s="1"/>
      <c r="AL255" s="1"/>
    </row>
    <row r="256" spans="1:38" x14ac:dyDescent="0.3">
      <c r="A256" s="4"/>
      <c r="B256" s="4"/>
      <c r="C256" s="4"/>
      <c r="D256" s="4">
        <v>128</v>
      </c>
      <c r="F256" t="s">
        <v>52</v>
      </c>
      <c r="G256">
        <v>0</v>
      </c>
      <c r="H256">
        <v>9.3525179856115095E-2</v>
      </c>
      <c r="I256">
        <v>0.27873303167420799</v>
      </c>
      <c r="J256">
        <v>2.49099639855942E-2</v>
      </c>
      <c r="K256">
        <v>3.0602430707353301E-4</v>
      </c>
      <c r="L256">
        <v>-3.3277870216306101E-3</v>
      </c>
      <c r="M256">
        <v>-1.5805061138316201E-2</v>
      </c>
      <c r="N256">
        <v>-6.1022120518688001E-3</v>
      </c>
      <c r="O256">
        <v>0.27892996693717997</v>
      </c>
      <c r="P256">
        <v>0.15450643776824</v>
      </c>
      <c r="Q256">
        <v>1.15619312707418E-2</v>
      </c>
      <c r="R256">
        <v>-4.5165843330980896E-3</v>
      </c>
      <c r="S256">
        <v>-5.3542329479320198E-3</v>
      </c>
      <c r="T256">
        <v>1.1129032258064501E-2</v>
      </c>
      <c r="U256">
        <v>-2.8104890742370698E-3</v>
      </c>
      <c r="V256">
        <v>0.40225563909774398</v>
      </c>
      <c r="W256">
        <v>0</v>
      </c>
      <c r="X256">
        <v>0</v>
      </c>
      <c r="Y256">
        <v>-3.6736378646119901E-2</v>
      </c>
      <c r="Z256">
        <v>3.5885167464114798E-2</v>
      </c>
      <c r="AA256">
        <v>-9.66250577901063E-2</v>
      </c>
    </row>
    <row r="257" spans="1:27" x14ac:dyDescent="0.3">
      <c r="A257" s="4"/>
      <c r="B257" s="4"/>
      <c r="C257" s="4"/>
      <c r="D257" s="4"/>
      <c r="F257" t="s">
        <v>81</v>
      </c>
      <c r="G257">
        <f>AVERAGE(G256:AA256)</f>
        <v>5.335545579122699E-2</v>
      </c>
      <c r="H257">
        <f>G257</f>
        <v>5.335545579122699E-2</v>
      </c>
      <c r="I257">
        <f t="shared" ref="I257:AA257" si="31">H257</f>
        <v>5.335545579122699E-2</v>
      </c>
      <c r="J257">
        <f t="shared" si="31"/>
        <v>5.335545579122699E-2</v>
      </c>
      <c r="K257">
        <f t="shared" si="31"/>
        <v>5.335545579122699E-2</v>
      </c>
      <c r="L257">
        <f t="shared" si="31"/>
        <v>5.335545579122699E-2</v>
      </c>
      <c r="M257">
        <f t="shared" si="31"/>
        <v>5.335545579122699E-2</v>
      </c>
      <c r="N257">
        <f t="shared" si="31"/>
        <v>5.335545579122699E-2</v>
      </c>
      <c r="O257">
        <f t="shared" si="31"/>
        <v>5.335545579122699E-2</v>
      </c>
      <c r="P257">
        <f t="shared" si="31"/>
        <v>5.335545579122699E-2</v>
      </c>
      <c r="Q257">
        <f t="shared" si="31"/>
        <v>5.335545579122699E-2</v>
      </c>
      <c r="R257">
        <f t="shared" si="31"/>
        <v>5.335545579122699E-2</v>
      </c>
      <c r="S257">
        <f t="shared" si="31"/>
        <v>5.335545579122699E-2</v>
      </c>
      <c r="T257">
        <f t="shared" si="31"/>
        <v>5.335545579122699E-2</v>
      </c>
      <c r="U257">
        <f t="shared" si="31"/>
        <v>5.335545579122699E-2</v>
      </c>
      <c r="V257">
        <f t="shared" si="31"/>
        <v>5.335545579122699E-2</v>
      </c>
      <c r="W257">
        <f t="shared" si="31"/>
        <v>5.335545579122699E-2</v>
      </c>
      <c r="X257">
        <f t="shared" si="31"/>
        <v>5.335545579122699E-2</v>
      </c>
      <c r="Y257">
        <f t="shared" si="31"/>
        <v>5.335545579122699E-2</v>
      </c>
      <c r="Z257">
        <f t="shared" si="31"/>
        <v>5.335545579122699E-2</v>
      </c>
      <c r="AA257">
        <f t="shared" si="31"/>
        <v>5.335545579122699E-2</v>
      </c>
    </row>
    <row r="258" spans="1:27" x14ac:dyDescent="0.3">
      <c r="A258" s="4"/>
      <c r="B258" s="4"/>
      <c r="C258" s="4"/>
      <c r="D258" s="4">
        <v>256</v>
      </c>
      <c r="F258" t="s">
        <v>52</v>
      </c>
      <c r="G258">
        <v>0</v>
      </c>
      <c r="H258">
        <v>9.3525179856115095E-2</v>
      </c>
      <c r="I258">
        <v>0.25972850678733</v>
      </c>
      <c r="J258">
        <v>2.4159663865546199E-2</v>
      </c>
      <c r="K258">
        <v>-4.1094692664160101E-3</v>
      </c>
      <c r="L258">
        <v>0</v>
      </c>
      <c r="M258">
        <v>-1.41922997976717E-2</v>
      </c>
      <c r="N258">
        <v>-7.6277650648360002E-4</v>
      </c>
      <c r="O258">
        <v>0.25217914036669598</v>
      </c>
      <c r="P258">
        <v>0.15450643776824</v>
      </c>
      <c r="Q258">
        <v>-4.8174713628091198E-3</v>
      </c>
      <c r="R258">
        <v>-7.7628793225123496E-3</v>
      </c>
      <c r="S258">
        <v>-6.82858694808722E-3</v>
      </c>
      <c r="T258">
        <v>2.09677419354838E-3</v>
      </c>
      <c r="U258">
        <v>-3.5860174162728399E-3</v>
      </c>
      <c r="V258">
        <v>0.40225563909774398</v>
      </c>
      <c r="W258">
        <v>0</v>
      </c>
      <c r="X258">
        <v>0</v>
      </c>
      <c r="Y258">
        <v>-3.8800220143092999E-2</v>
      </c>
      <c r="Z258">
        <v>2.6315789473684199E-2</v>
      </c>
      <c r="AA258">
        <v>-0.120203421174294</v>
      </c>
    </row>
    <row r="259" spans="1:27" x14ac:dyDescent="0.3">
      <c r="A259" s="4"/>
      <c r="B259" s="4"/>
      <c r="C259" s="4"/>
      <c r="D259" s="4"/>
      <c r="F259" t="s">
        <v>82</v>
      </c>
      <c r="G259">
        <f>AVERAGE(G258:AA258)</f>
        <v>4.8271618546250679E-2</v>
      </c>
      <c r="H259">
        <f>G259</f>
        <v>4.8271618546250679E-2</v>
      </c>
      <c r="I259">
        <f t="shared" ref="I259:AA259" si="32">H259</f>
        <v>4.8271618546250679E-2</v>
      </c>
      <c r="J259">
        <f t="shared" si="32"/>
        <v>4.8271618546250679E-2</v>
      </c>
      <c r="K259">
        <f t="shared" si="32"/>
        <v>4.8271618546250679E-2</v>
      </c>
      <c r="L259">
        <f t="shared" si="32"/>
        <v>4.8271618546250679E-2</v>
      </c>
      <c r="M259">
        <f t="shared" si="32"/>
        <v>4.8271618546250679E-2</v>
      </c>
      <c r="N259">
        <f t="shared" si="32"/>
        <v>4.8271618546250679E-2</v>
      </c>
      <c r="O259">
        <f t="shared" si="32"/>
        <v>4.8271618546250679E-2</v>
      </c>
      <c r="P259">
        <f t="shared" si="32"/>
        <v>4.8271618546250679E-2</v>
      </c>
      <c r="Q259">
        <f t="shared" si="32"/>
        <v>4.8271618546250679E-2</v>
      </c>
      <c r="R259">
        <f t="shared" si="32"/>
        <v>4.8271618546250679E-2</v>
      </c>
      <c r="S259">
        <f t="shared" si="32"/>
        <v>4.8271618546250679E-2</v>
      </c>
      <c r="T259">
        <f t="shared" si="32"/>
        <v>4.8271618546250679E-2</v>
      </c>
      <c r="U259">
        <f t="shared" si="32"/>
        <v>4.8271618546250679E-2</v>
      </c>
      <c r="V259">
        <f t="shared" si="32"/>
        <v>4.8271618546250679E-2</v>
      </c>
      <c r="W259">
        <f t="shared" si="32"/>
        <v>4.8271618546250679E-2</v>
      </c>
      <c r="X259">
        <f t="shared" si="32"/>
        <v>4.8271618546250679E-2</v>
      </c>
      <c r="Y259">
        <f t="shared" si="32"/>
        <v>4.8271618546250679E-2</v>
      </c>
      <c r="Z259">
        <f t="shared" si="32"/>
        <v>4.8271618546250679E-2</v>
      </c>
      <c r="AA259">
        <f t="shared" si="32"/>
        <v>4.8271618546250679E-2</v>
      </c>
    </row>
    <row r="260" spans="1:27" x14ac:dyDescent="0.3">
      <c r="A260" s="4"/>
      <c r="B260" s="4"/>
      <c r="C260" s="4"/>
      <c r="D260" s="4">
        <v>512</v>
      </c>
      <c r="F260" t="s">
        <v>52</v>
      </c>
      <c r="G260">
        <v>0</v>
      </c>
      <c r="H260">
        <v>9.3525179856115095E-2</v>
      </c>
      <c r="I260">
        <v>0.24796380090497699</v>
      </c>
      <c r="J260">
        <v>1.17797118847539E-2</v>
      </c>
      <c r="K260">
        <v>-9.3993180029727993E-3</v>
      </c>
      <c r="L260">
        <v>0</v>
      </c>
      <c r="M260">
        <v>-1.38697475295428E-2</v>
      </c>
      <c r="N260">
        <v>-1.22044241037376E-2</v>
      </c>
      <c r="O260">
        <v>0.23850315599639299</v>
      </c>
      <c r="P260">
        <v>0.15450643776824</v>
      </c>
      <c r="Q260">
        <v>-8.8320308318167208E-3</v>
      </c>
      <c r="R260">
        <v>-7.5158786167960397E-3</v>
      </c>
      <c r="S260">
        <v>1.5519515791107301E-3</v>
      </c>
      <c r="T260">
        <v>6.1290322580645103E-3</v>
      </c>
      <c r="U260">
        <v>-4.4646290709896798E-3</v>
      </c>
      <c r="V260">
        <v>0.40225563909774398</v>
      </c>
      <c r="W260">
        <v>0</v>
      </c>
      <c r="X260">
        <v>0</v>
      </c>
      <c r="Y260">
        <v>-4.5542102366538197E-2</v>
      </c>
      <c r="Z260">
        <v>2.23285486443381E-2</v>
      </c>
      <c r="AA260">
        <v>-0.115580212667591</v>
      </c>
    </row>
    <row r="261" spans="1:27" x14ac:dyDescent="0.3">
      <c r="A261" s="4"/>
      <c r="B261" s="4"/>
      <c r="C261" s="4"/>
      <c r="D261" s="4"/>
      <c r="F261" t="s">
        <v>83</v>
      </c>
      <c r="G261">
        <f>AVERAGE(G260:AA260)</f>
        <v>4.5768338799988165E-2</v>
      </c>
      <c r="H261">
        <f>G261</f>
        <v>4.5768338799988165E-2</v>
      </c>
      <c r="I261">
        <f t="shared" ref="I261:AA261" si="33">H261</f>
        <v>4.5768338799988165E-2</v>
      </c>
      <c r="J261">
        <f t="shared" si="33"/>
        <v>4.5768338799988165E-2</v>
      </c>
      <c r="K261">
        <f t="shared" si="33"/>
        <v>4.5768338799988165E-2</v>
      </c>
      <c r="L261">
        <f t="shared" si="33"/>
        <v>4.5768338799988165E-2</v>
      </c>
      <c r="M261">
        <f t="shared" si="33"/>
        <v>4.5768338799988165E-2</v>
      </c>
      <c r="N261">
        <f t="shared" si="33"/>
        <v>4.5768338799988165E-2</v>
      </c>
      <c r="O261">
        <f t="shared" si="33"/>
        <v>4.5768338799988165E-2</v>
      </c>
      <c r="P261">
        <f t="shared" si="33"/>
        <v>4.5768338799988165E-2</v>
      </c>
      <c r="Q261">
        <f t="shared" si="33"/>
        <v>4.5768338799988165E-2</v>
      </c>
      <c r="R261">
        <f t="shared" si="33"/>
        <v>4.5768338799988165E-2</v>
      </c>
      <c r="S261">
        <f t="shared" si="33"/>
        <v>4.5768338799988165E-2</v>
      </c>
      <c r="T261">
        <f t="shared" si="33"/>
        <v>4.5768338799988165E-2</v>
      </c>
      <c r="U261">
        <f t="shared" si="33"/>
        <v>4.5768338799988165E-2</v>
      </c>
      <c r="V261">
        <f t="shared" si="33"/>
        <v>4.5768338799988165E-2</v>
      </c>
      <c r="W261">
        <f t="shared" si="33"/>
        <v>4.5768338799988165E-2</v>
      </c>
      <c r="X261">
        <f t="shared" si="33"/>
        <v>4.5768338799988165E-2</v>
      </c>
      <c r="Y261">
        <f t="shared" si="33"/>
        <v>4.5768338799988165E-2</v>
      </c>
      <c r="Z261">
        <f t="shared" si="33"/>
        <v>4.5768338799988165E-2</v>
      </c>
      <c r="AA261">
        <f t="shared" si="33"/>
        <v>4.5768338799988165E-2</v>
      </c>
    </row>
    <row r="262" spans="1:27" x14ac:dyDescent="0.3">
      <c r="A262" s="4"/>
      <c r="B262" s="4"/>
      <c r="C262" s="4"/>
      <c r="D262" s="4">
        <v>1024</v>
      </c>
      <c r="F262" t="s">
        <v>52</v>
      </c>
      <c r="G262">
        <v>0</v>
      </c>
      <c r="H262">
        <v>9.3525179856115095E-2</v>
      </c>
      <c r="I262">
        <v>0.261538461538461</v>
      </c>
      <c r="J262">
        <v>2.4759903961584602E-3</v>
      </c>
      <c r="K262">
        <v>-1.07982862638803E-2</v>
      </c>
      <c r="L262">
        <v>0</v>
      </c>
      <c r="M262">
        <v>-1.29020907251561E-2</v>
      </c>
      <c r="N262">
        <v>-1.9069412662089998E-2</v>
      </c>
      <c r="O262">
        <v>0.245566576495341</v>
      </c>
      <c r="P262">
        <v>0.15450643776824</v>
      </c>
      <c r="Q262">
        <v>-7.2797345038004497E-3</v>
      </c>
      <c r="R262">
        <v>-5.5398729710656302E-3</v>
      </c>
      <c r="S262">
        <v>-4.1902692635989698E-3</v>
      </c>
      <c r="T262">
        <v>1.7741935483870899E-2</v>
      </c>
      <c r="U262">
        <v>-4.3257603596058604E-3</v>
      </c>
      <c r="V262">
        <v>0.40225563909774398</v>
      </c>
      <c r="W262">
        <v>0</v>
      </c>
      <c r="X262">
        <v>0</v>
      </c>
      <c r="Y262">
        <v>-5.0908090258668097E-2</v>
      </c>
      <c r="Z262">
        <v>2.4322169059011099E-2</v>
      </c>
      <c r="AA262">
        <v>-0.124826629680998</v>
      </c>
    </row>
    <row r="263" spans="1:27" x14ac:dyDescent="0.3">
      <c r="A263" s="4"/>
      <c r="B263" s="4"/>
      <c r="C263" s="4"/>
      <c r="D263" s="4"/>
      <c r="F263" t="s">
        <v>84</v>
      </c>
      <c r="G263">
        <f>AVERAGE(G262:AA262)</f>
        <v>4.5813916333622771E-2</v>
      </c>
      <c r="H263">
        <f>G263</f>
        <v>4.5813916333622771E-2</v>
      </c>
      <c r="I263">
        <f t="shared" ref="I263:AA263" si="34">H263</f>
        <v>4.5813916333622771E-2</v>
      </c>
      <c r="J263">
        <f t="shared" si="34"/>
        <v>4.5813916333622771E-2</v>
      </c>
      <c r="K263">
        <f t="shared" si="34"/>
        <v>4.5813916333622771E-2</v>
      </c>
      <c r="L263">
        <f t="shared" si="34"/>
        <v>4.5813916333622771E-2</v>
      </c>
      <c r="M263">
        <f t="shared" si="34"/>
        <v>4.5813916333622771E-2</v>
      </c>
      <c r="N263">
        <f t="shared" si="34"/>
        <v>4.5813916333622771E-2</v>
      </c>
      <c r="O263">
        <f t="shared" si="34"/>
        <v>4.5813916333622771E-2</v>
      </c>
      <c r="P263">
        <f t="shared" si="34"/>
        <v>4.5813916333622771E-2</v>
      </c>
      <c r="Q263">
        <f t="shared" si="34"/>
        <v>4.5813916333622771E-2</v>
      </c>
      <c r="R263">
        <f t="shared" si="34"/>
        <v>4.5813916333622771E-2</v>
      </c>
      <c r="S263">
        <f t="shared" si="34"/>
        <v>4.5813916333622771E-2</v>
      </c>
      <c r="T263">
        <f t="shared" si="34"/>
        <v>4.5813916333622771E-2</v>
      </c>
      <c r="U263">
        <f t="shared" si="34"/>
        <v>4.5813916333622771E-2</v>
      </c>
      <c r="V263">
        <f t="shared" si="34"/>
        <v>4.5813916333622771E-2</v>
      </c>
      <c r="W263">
        <f t="shared" si="34"/>
        <v>4.5813916333622771E-2</v>
      </c>
      <c r="X263">
        <f t="shared" si="34"/>
        <v>4.5813916333622771E-2</v>
      </c>
      <c r="Y263">
        <f t="shared" si="34"/>
        <v>4.5813916333622771E-2</v>
      </c>
      <c r="Z263">
        <f t="shared" si="34"/>
        <v>4.5813916333622771E-2</v>
      </c>
      <c r="AA263">
        <f t="shared" si="34"/>
        <v>4.5813916333622771E-2</v>
      </c>
    </row>
    <row r="264" spans="1:27" x14ac:dyDescent="0.3">
      <c r="A264" s="4"/>
      <c r="B264" s="4"/>
      <c r="C264" s="4"/>
      <c r="D264" s="4">
        <v>2048</v>
      </c>
      <c r="F264" t="s">
        <v>52</v>
      </c>
      <c r="G264">
        <v>0</v>
      </c>
      <c r="H264">
        <v>9.3525179856115095E-2</v>
      </c>
      <c r="I264">
        <v>0.25339366515837097</v>
      </c>
      <c r="J264">
        <v>1.4180672268907501E-2</v>
      </c>
      <c r="K264">
        <v>-8.2626562909853905E-3</v>
      </c>
      <c r="L264">
        <v>0</v>
      </c>
      <c r="M264">
        <v>-1.4690789666598199E-2</v>
      </c>
      <c r="N264">
        <v>-3.4324942791761999E-3</v>
      </c>
      <c r="O264">
        <v>0.242861436729786</v>
      </c>
      <c r="P264">
        <v>0.15450643776824</v>
      </c>
      <c r="Q264">
        <v>-5.7809656353709398E-3</v>
      </c>
      <c r="R264">
        <v>3.1757233592095898E-4</v>
      </c>
      <c r="S264">
        <v>-5.2766353689764796E-3</v>
      </c>
      <c r="T264">
        <v>2.1290322580645098E-2</v>
      </c>
      <c r="U264">
        <v>-4.2963842860438998E-3</v>
      </c>
      <c r="V264">
        <v>0.40225563909774398</v>
      </c>
      <c r="W264">
        <v>0</v>
      </c>
      <c r="X264">
        <v>0</v>
      </c>
      <c r="Y264">
        <v>-4.6642817831590501E-2</v>
      </c>
      <c r="Z264">
        <v>2.3923444976076499E-2</v>
      </c>
      <c r="AA264">
        <v>-0.12621359223300899</v>
      </c>
    </row>
    <row r="265" spans="1:27" x14ac:dyDescent="0.3">
      <c r="A265" s="4"/>
      <c r="B265" s="4"/>
      <c r="C265" s="4"/>
      <c r="D265" s="4"/>
      <c r="F265" t="s">
        <v>85</v>
      </c>
      <c r="G265">
        <f>AVERAGE(G264:AA264)</f>
        <v>4.7221811199050272E-2</v>
      </c>
      <c r="H265">
        <f>G265</f>
        <v>4.7221811199050272E-2</v>
      </c>
      <c r="I265">
        <f t="shared" ref="I265:AA265" si="35">H265</f>
        <v>4.7221811199050272E-2</v>
      </c>
      <c r="J265">
        <f t="shared" si="35"/>
        <v>4.7221811199050272E-2</v>
      </c>
      <c r="K265">
        <f t="shared" si="35"/>
        <v>4.7221811199050272E-2</v>
      </c>
      <c r="L265">
        <f t="shared" si="35"/>
        <v>4.7221811199050272E-2</v>
      </c>
      <c r="M265">
        <f t="shared" si="35"/>
        <v>4.7221811199050272E-2</v>
      </c>
      <c r="N265">
        <f t="shared" si="35"/>
        <v>4.7221811199050272E-2</v>
      </c>
      <c r="O265">
        <f t="shared" si="35"/>
        <v>4.7221811199050272E-2</v>
      </c>
      <c r="P265">
        <f t="shared" si="35"/>
        <v>4.7221811199050272E-2</v>
      </c>
      <c r="Q265">
        <f t="shared" si="35"/>
        <v>4.7221811199050272E-2</v>
      </c>
      <c r="R265">
        <f t="shared" si="35"/>
        <v>4.7221811199050272E-2</v>
      </c>
      <c r="S265">
        <f t="shared" si="35"/>
        <v>4.7221811199050272E-2</v>
      </c>
      <c r="T265">
        <f t="shared" si="35"/>
        <v>4.7221811199050272E-2</v>
      </c>
      <c r="U265">
        <f t="shared" si="35"/>
        <v>4.7221811199050272E-2</v>
      </c>
      <c r="V265">
        <f t="shared" si="35"/>
        <v>4.7221811199050272E-2</v>
      </c>
      <c r="W265">
        <f t="shared" si="35"/>
        <v>4.7221811199050272E-2</v>
      </c>
      <c r="X265">
        <f t="shared" si="35"/>
        <v>4.7221811199050272E-2</v>
      </c>
      <c r="Y265">
        <f t="shared" si="35"/>
        <v>4.7221811199050272E-2</v>
      </c>
      <c r="Z265">
        <f t="shared" si="35"/>
        <v>4.7221811199050272E-2</v>
      </c>
      <c r="AA265">
        <f t="shared" si="35"/>
        <v>4.7221811199050272E-2</v>
      </c>
    </row>
    <row r="266" spans="1:27" x14ac:dyDescent="0.3">
      <c r="A266" s="4"/>
      <c r="B266" s="4"/>
      <c r="C266" s="4"/>
      <c r="D266" s="4" t="s">
        <v>86</v>
      </c>
      <c r="E266" s="4"/>
      <c r="F266" s="4"/>
      <c r="G266">
        <f>AVERAGE(G255,G257,G259,G261,G263,G265)</f>
        <v>5.0047354784510528E-2</v>
      </c>
    </row>
    <row r="267" spans="1:27" x14ac:dyDescent="0.3">
      <c r="A267" s="4"/>
      <c r="B267" s="4"/>
    </row>
    <row r="268" spans="1:27" x14ac:dyDescent="0.3">
      <c r="A268" s="4"/>
      <c r="B268" s="4"/>
      <c r="C268" s="4">
        <v>128</v>
      </c>
      <c r="D268" s="4">
        <v>64</v>
      </c>
      <c r="F268" t="s">
        <v>52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</row>
    <row r="269" spans="1:27" x14ac:dyDescent="0.3">
      <c r="A269" s="4"/>
      <c r="B269" s="4"/>
      <c r="C269" s="4"/>
      <c r="D269" s="4"/>
      <c r="F269" t="s">
        <v>80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</row>
    <row r="270" spans="1:27" x14ac:dyDescent="0.3">
      <c r="A270" s="4"/>
      <c r="B270" s="4"/>
      <c r="C270" s="4"/>
      <c r="D270" s="4">
        <v>128</v>
      </c>
      <c r="F270" t="s">
        <v>52</v>
      </c>
      <c r="G270">
        <v>0</v>
      </c>
      <c r="H270">
        <v>0</v>
      </c>
      <c r="I270">
        <v>0</v>
      </c>
      <c r="J270">
        <v>0.39225589225589202</v>
      </c>
      <c r="K270">
        <v>-0.13588794075028099</v>
      </c>
      <c r="L270">
        <v>0</v>
      </c>
      <c r="M270">
        <v>-3.0500947031545898E-2</v>
      </c>
      <c r="N270">
        <v>1.7010935601457999E-2</v>
      </c>
      <c r="O270">
        <v>0.36658556366585499</v>
      </c>
      <c r="P270">
        <v>0</v>
      </c>
      <c r="Q270">
        <v>0.20049504950495001</v>
      </c>
      <c r="R270">
        <v>-8.1446879865852192E-3</v>
      </c>
      <c r="S270">
        <v>0.13349588540079199</v>
      </c>
      <c r="T270">
        <v>0.33977900552486101</v>
      </c>
      <c r="U270">
        <v>3.7882180927145399E-3</v>
      </c>
      <c r="V270">
        <v>0.13586956521739099</v>
      </c>
      <c r="W270">
        <v>0</v>
      </c>
      <c r="X270">
        <v>0</v>
      </c>
      <c r="Y270">
        <v>0.148196436332029</v>
      </c>
      <c r="Z270">
        <v>1.75131348511383E-3</v>
      </c>
      <c r="AA270">
        <v>4.5203415369161198E-3</v>
      </c>
    </row>
    <row r="271" spans="1:27" x14ac:dyDescent="0.3">
      <c r="A271" s="4"/>
      <c r="B271" s="4"/>
      <c r="C271" s="4"/>
      <c r="D271" s="4"/>
      <c r="F271" t="s">
        <v>81</v>
      </c>
      <c r="G271">
        <f>AVERAGE(G270:AA270)</f>
        <v>7.4724506230931451E-2</v>
      </c>
      <c r="H271">
        <f>G271</f>
        <v>7.4724506230931451E-2</v>
      </c>
      <c r="I271">
        <f t="shared" ref="I271:AA271" si="36">H271</f>
        <v>7.4724506230931451E-2</v>
      </c>
      <c r="J271">
        <f t="shared" si="36"/>
        <v>7.4724506230931451E-2</v>
      </c>
      <c r="K271">
        <f t="shared" si="36"/>
        <v>7.4724506230931451E-2</v>
      </c>
      <c r="L271">
        <f t="shared" si="36"/>
        <v>7.4724506230931451E-2</v>
      </c>
      <c r="M271">
        <f t="shared" si="36"/>
        <v>7.4724506230931451E-2</v>
      </c>
      <c r="N271">
        <f t="shared" si="36"/>
        <v>7.4724506230931451E-2</v>
      </c>
      <c r="O271">
        <f t="shared" si="36"/>
        <v>7.4724506230931451E-2</v>
      </c>
      <c r="P271">
        <f t="shared" si="36"/>
        <v>7.4724506230931451E-2</v>
      </c>
      <c r="Q271">
        <f t="shared" si="36"/>
        <v>7.4724506230931451E-2</v>
      </c>
      <c r="R271">
        <f t="shared" si="36"/>
        <v>7.4724506230931451E-2</v>
      </c>
      <c r="S271">
        <f t="shared" si="36"/>
        <v>7.4724506230931451E-2</v>
      </c>
      <c r="T271">
        <f t="shared" si="36"/>
        <v>7.4724506230931451E-2</v>
      </c>
      <c r="U271">
        <f t="shared" si="36"/>
        <v>7.4724506230931451E-2</v>
      </c>
      <c r="V271">
        <f t="shared" si="36"/>
        <v>7.4724506230931451E-2</v>
      </c>
      <c r="W271">
        <f t="shared" si="36"/>
        <v>7.4724506230931451E-2</v>
      </c>
      <c r="X271">
        <f t="shared" si="36"/>
        <v>7.4724506230931451E-2</v>
      </c>
      <c r="Y271">
        <f t="shared" si="36"/>
        <v>7.4724506230931451E-2</v>
      </c>
      <c r="Z271">
        <f t="shared" si="36"/>
        <v>7.4724506230931451E-2</v>
      </c>
      <c r="AA271">
        <f t="shared" si="36"/>
        <v>7.4724506230931451E-2</v>
      </c>
    </row>
    <row r="272" spans="1:27" x14ac:dyDescent="0.3">
      <c r="A272" s="4"/>
      <c r="B272" s="4"/>
      <c r="C272" s="4"/>
      <c r="D272" s="4">
        <v>256</v>
      </c>
      <c r="F272" t="s">
        <v>52</v>
      </c>
      <c r="G272">
        <v>0</v>
      </c>
      <c r="H272">
        <v>0</v>
      </c>
      <c r="I272">
        <v>-2.7696793002915401E-2</v>
      </c>
      <c r="J272">
        <v>0.39225589225589202</v>
      </c>
      <c r="K272">
        <v>-5.4902592175173001E-2</v>
      </c>
      <c r="L272">
        <v>0</v>
      </c>
      <c r="M272">
        <v>-2.8704852720266402E-2</v>
      </c>
      <c r="N272">
        <v>1.82260024301336E-2</v>
      </c>
      <c r="O272">
        <v>0.28487429034874201</v>
      </c>
      <c r="P272">
        <v>0</v>
      </c>
      <c r="Q272">
        <v>0.37376237623762298</v>
      </c>
      <c r="R272">
        <v>5.8689663432746403E-3</v>
      </c>
      <c r="S272">
        <v>4.78512648582749E-2</v>
      </c>
      <c r="T272">
        <v>0.33977900552486101</v>
      </c>
      <c r="U272">
        <v>7.7729265212830802E-4</v>
      </c>
      <c r="V272">
        <v>0.13586956521739099</v>
      </c>
      <c r="W272">
        <v>0</v>
      </c>
      <c r="X272">
        <v>0</v>
      </c>
      <c r="Y272">
        <v>0.118209474141677</v>
      </c>
      <c r="Z272">
        <v>-2.40805604203152E-2</v>
      </c>
      <c r="AA272">
        <v>-5.4746358613761897E-2</v>
      </c>
    </row>
    <row r="273" spans="1:27" x14ac:dyDescent="0.3">
      <c r="A273" s="4"/>
      <c r="B273" s="4"/>
      <c r="C273" s="4"/>
      <c r="D273" s="4"/>
      <c r="F273" t="s">
        <v>82</v>
      </c>
      <c r="G273">
        <f>AVERAGE(G272:AA272)</f>
        <v>7.273061776559836E-2</v>
      </c>
      <c r="H273">
        <f>G273</f>
        <v>7.273061776559836E-2</v>
      </c>
      <c r="I273">
        <f t="shared" ref="I273:AA273" si="37">H273</f>
        <v>7.273061776559836E-2</v>
      </c>
      <c r="J273">
        <f t="shared" si="37"/>
        <v>7.273061776559836E-2</v>
      </c>
      <c r="K273">
        <f t="shared" si="37"/>
        <v>7.273061776559836E-2</v>
      </c>
      <c r="L273">
        <f t="shared" si="37"/>
        <v>7.273061776559836E-2</v>
      </c>
      <c r="M273">
        <f t="shared" si="37"/>
        <v>7.273061776559836E-2</v>
      </c>
      <c r="N273">
        <f t="shared" si="37"/>
        <v>7.273061776559836E-2</v>
      </c>
      <c r="O273">
        <f t="shared" si="37"/>
        <v>7.273061776559836E-2</v>
      </c>
      <c r="P273">
        <f t="shared" si="37"/>
        <v>7.273061776559836E-2</v>
      </c>
      <c r="Q273">
        <f t="shared" si="37"/>
        <v>7.273061776559836E-2</v>
      </c>
      <c r="R273">
        <f t="shared" si="37"/>
        <v>7.273061776559836E-2</v>
      </c>
      <c r="S273">
        <f t="shared" si="37"/>
        <v>7.273061776559836E-2</v>
      </c>
      <c r="T273">
        <f t="shared" si="37"/>
        <v>7.273061776559836E-2</v>
      </c>
      <c r="U273">
        <f t="shared" si="37"/>
        <v>7.273061776559836E-2</v>
      </c>
      <c r="V273">
        <f t="shared" si="37"/>
        <v>7.273061776559836E-2</v>
      </c>
      <c r="W273">
        <f t="shared" si="37"/>
        <v>7.273061776559836E-2</v>
      </c>
      <c r="X273">
        <f t="shared" si="37"/>
        <v>7.273061776559836E-2</v>
      </c>
      <c r="Y273">
        <f t="shared" si="37"/>
        <v>7.273061776559836E-2</v>
      </c>
      <c r="Z273">
        <f t="shared" si="37"/>
        <v>7.273061776559836E-2</v>
      </c>
      <c r="AA273">
        <f t="shared" si="37"/>
        <v>7.273061776559836E-2</v>
      </c>
    </row>
    <row r="274" spans="1:27" x14ac:dyDescent="0.3">
      <c r="A274" s="4"/>
      <c r="B274" s="4"/>
      <c r="C274" s="4"/>
      <c r="D274" s="4">
        <v>512</v>
      </c>
      <c r="F274" t="s">
        <v>52</v>
      </c>
      <c r="G274">
        <v>0</v>
      </c>
      <c r="H274">
        <v>0</v>
      </c>
      <c r="I274">
        <v>-3.64431486880466E-2</v>
      </c>
      <c r="J274">
        <v>0.39225589225589202</v>
      </c>
      <c r="K274">
        <v>-9.6280792142972096E-2</v>
      </c>
      <c r="L274">
        <v>0</v>
      </c>
      <c r="M274">
        <v>-2.7496571092678401E-2</v>
      </c>
      <c r="N274">
        <v>1.4175779667881701E-2</v>
      </c>
      <c r="O274">
        <v>0.26115166261151601</v>
      </c>
      <c r="P274">
        <v>0</v>
      </c>
      <c r="Q274">
        <v>0.37376237623762298</v>
      </c>
      <c r="R274">
        <v>5.3898670499460998E-3</v>
      </c>
      <c r="S274">
        <v>4.9070405364218202E-2</v>
      </c>
      <c r="T274">
        <v>0.33977900552486101</v>
      </c>
      <c r="U274">
        <v>-1.06451529012664E-3</v>
      </c>
      <c r="V274">
        <v>0.13586956521739099</v>
      </c>
      <c r="W274">
        <v>0</v>
      </c>
      <c r="X274">
        <v>0</v>
      </c>
      <c r="Y274">
        <v>0.13472403302911701</v>
      </c>
      <c r="Z274">
        <v>-2.4518388791593598E-2</v>
      </c>
      <c r="AA274">
        <v>-5.67553992968357E-2</v>
      </c>
    </row>
    <row r="275" spans="1:27" x14ac:dyDescent="0.3">
      <c r="A275" s="4"/>
      <c r="B275" s="4"/>
      <c r="C275" s="4"/>
      <c r="D275" s="4"/>
      <c r="F275" t="s">
        <v>83</v>
      </c>
      <c r="G275">
        <f>AVERAGE(G274:AA274)</f>
        <v>6.9696179602675851E-2</v>
      </c>
      <c r="H275">
        <f>G275</f>
        <v>6.9696179602675851E-2</v>
      </c>
      <c r="I275">
        <f t="shared" ref="I275:AA275" si="38">H275</f>
        <v>6.9696179602675851E-2</v>
      </c>
      <c r="J275">
        <f t="shared" si="38"/>
        <v>6.9696179602675851E-2</v>
      </c>
      <c r="K275">
        <f t="shared" si="38"/>
        <v>6.9696179602675851E-2</v>
      </c>
      <c r="L275">
        <f t="shared" si="38"/>
        <v>6.9696179602675851E-2</v>
      </c>
      <c r="M275">
        <f t="shared" si="38"/>
        <v>6.9696179602675851E-2</v>
      </c>
      <c r="N275">
        <f t="shared" si="38"/>
        <v>6.9696179602675851E-2</v>
      </c>
      <c r="O275">
        <f t="shared" si="38"/>
        <v>6.9696179602675851E-2</v>
      </c>
      <c r="P275">
        <f t="shared" si="38"/>
        <v>6.9696179602675851E-2</v>
      </c>
      <c r="Q275">
        <f t="shared" si="38"/>
        <v>6.9696179602675851E-2</v>
      </c>
      <c r="R275">
        <f t="shared" si="38"/>
        <v>6.9696179602675851E-2</v>
      </c>
      <c r="S275">
        <f t="shared" si="38"/>
        <v>6.9696179602675851E-2</v>
      </c>
      <c r="T275">
        <f t="shared" si="38"/>
        <v>6.9696179602675851E-2</v>
      </c>
      <c r="U275">
        <f t="shared" si="38"/>
        <v>6.9696179602675851E-2</v>
      </c>
      <c r="V275">
        <f t="shared" si="38"/>
        <v>6.9696179602675851E-2</v>
      </c>
      <c r="W275">
        <f t="shared" si="38"/>
        <v>6.9696179602675851E-2</v>
      </c>
      <c r="X275">
        <f t="shared" si="38"/>
        <v>6.9696179602675851E-2</v>
      </c>
      <c r="Y275">
        <f t="shared" si="38"/>
        <v>6.9696179602675851E-2</v>
      </c>
      <c r="Z275">
        <f t="shared" si="38"/>
        <v>6.9696179602675851E-2</v>
      </c>
      <c r="AA275">
        <f t="shared" si="38"/>
        <v>6.9696179602675851E-2</v>
      </c>
    </row>
    <row r="276" spans="1:27" x14ac:dyDescent="0.3">
      <c r="A276" s="4"/>
      <c r="B276" s="4"/>
      <c r="C276" s="4"/>
      <c r="D276" s="4">
        <v>1024</v>
      </c>
      <c r="F276" t="s">
        <v>52</v>
      </c>
      <c r="G276">
        <v>0</v>
      </c>
      <c r="H276">
        <v>0</v>
      </c>
      <c r="I276">
        <v>-2.62390670553935E-2</v>
      </c>
      <c r="J276">
        <v>0.39225589225589202</v>
      </c>
      <c r="K276">
        <v>-9.9983899533086396E-2</v>
      </c>
      <c r="L276">
        <v>0</v>
      </c>
      <c r="M276">
        <v>-2.5863758082424401E-2</v>
      </c>
      <c r="N276">
        <v>1.13406237343053E-2</v>
      </c>
      <c r="O276">
        <v>0.243106244931062</v>
      </c>
      <c r="P276">
        <v>0</v>
      </c>
      <c r="Q276">
        <v>0.37376237623762298</v>
      </c>
      <c r="R276">
        <v>-1.04204096298957E-2</v>
      </c>
      <c r="S276">
        <v>3.9317281316671698E-2</v>
      </c>
      <c r="T276">
        <v>0.33977900552486101</v>
      </c>
      <c r="U276">
        <v>-1.8943980027335201E-3</v>
      </c>
      <c r="V276">
        <v>0.13586956521739099</v>
      </c>
      <c r="W276">
        <v>0</v>
      </c>
      <c r="X276">
        <v>0</v>
      </c>
      <c r="Y276">
        <v>9.6914385049978194E-2</v>
      </c>
      <c r="Z276">
        <v>-3.2399299474605903E-2</v>
      </c>
      <c r="AA276">
        <v>-6.6298342541436406E-2</v>
      </c>
    </row>
    <row r="277" spans="1:27" x14ac:dyDescent="0.3">
      <c r="A277" s="4"/>
      <c r="B277" s="4"/>
      <c r="C277" s="4"/>
      <c r="D277" s="4"/>
      <c r="F277" t="s">
        <v>84</v>
      </c>
      <c r="G277">
        <f>AVERAGE(G276:AA276)</f>
        <v>6.5202199997533739E-2</v>
      </c>
      <c r="H277">
        <f>G277</f>
        <v>6.5202199997533739E-2</v>
      </c>
      <c r="I277">
        <f t="shared" ref="I277:AA277" si="39">H277</f>
        <v>6.5202199997533739E-2</v>
      </c>
      <c r="J277">
        <f t="shared" si="39"/>
        <v>6.5202199997533739E-2</v>
      </c>
      <c r="K277">
        <f t="shared" si="39"/>
        <v>6.5202199997533739E-2</v>
      </c>
      <c r="L277">
        <f t="shared" si="39"/>
        <v>6.5202199997533739E-2</v>
      </c>
      <c r="M277">
        <f t="shared" si="39"/>
        <v>6.5202199997533739E-2</v>
      </c>
      <c r="N277">
        <f t="shared" si="39"/>
        <v>6.5202199997533739E-2</v>
      </c>
      <c r="O277">
        <f t="shared" si="39"/>
        <v>6.5202199997533739E-2</v>
      </c>
      <c r="P277">
        <f t="shared" si="39"/>
        <v>6.5202199997533739E-2</v>
      </c>
      <c r="Q277">
        <f t="shared" si="39"/>
        <v>6.5202199997533739E-2</v>
      </c>
      <c r="R277">
        <f t="shared" si="39"/>
        <v>6.5202199997533739E-2</v>
      </c>
      <c r="S277">
        <f t="shared" si="39"/>
        <v>6.5202199997533739E-2</v>
      </c>
      <c r="T277">
        <f t="shared" si="39"/>
        <v>6.5202199997533739E-2</v>
      </c>
      <c r="U277">
        <f t="shared" si="39"/>
        <v>6.5202199997533739E-2</v>
      </c>
      <c r="V277">
        <f t="shared" si="39"/>
        <v>6.5202199997533739E-2</v>
      </c>
      <c r="W277">
        <f t="shared" si="39"/>
        <v>6.5202199997533739E-2</v>
      </c>
      <c r="X277">
        <f t="shared" si="39"/>
        <v>6.5202199997533739E-2</v>
      </c>
      <c r="Y277">
        <f t="shared" si="39"/>
        <v>6.5202199997533739E-2</v>
      </c>
      <c r="Z277">
        <f t="shared" si="39"/>
        <v>6.5202199997533739E-2</v>
      </c>
      <c r="AA277">
        <f t="shared" si="39"/>
        <v>6.5202199997533739E-2</v>
      </c>
    </row>
    <row r="278" spans="1:27" x14ac:dyDescent="0.3">
      <c r="A278" s="4"/>
      <c r="B278" s="4"/>
      <c r="C278" s="4"/>
      <c r="D278" s="4">
        <v>2048</v>
      </c>
      <c r="F278" t="s">
        <v>52</v>
      </c>
      <c r="G278">
        <v>0</v>
      </c>
      <c r="H278">
        <v>0</v>
      </c>
      <c r="I278">
        <v>-4.3731778425655898E-2</v>
      </c>
      <c r="J278">
        <v>0.39225589225589202</v>
      </c>
      <c r="K278">
        <v>-0.136531959426823</v>
      </c>
      <c r="L278">
        <v>0</v>
      </c>
      <c r="M278">
        <v>-2.4361570112990599E-2</v>
      </c>
      <c r="N278">
        <v>1.7010935601457999E-2</v>
      </c>
      <c r="O278">
        <v>0.264598540145985</v>
      </c>
      <c r="P278">
        <v>0</v>
      </c>
      <c r="Q278">
        <v>0.37376237623762298</v>
      </c>
      <c r="R278">
        <v>2.3236315726434299E-2</v>
      </c>
      <c r="S278">
        <v>4.0231636696129197E-2</v>
      </c>
      <c r="T278">
        <v>0.33977900552486101</v>
      </c>
      <c r="U278">
        <v>-2.22496409717025E-3</v>
      </c>
      <c r="V278">
        <v>0.13586956521739099</v>
      </c>
      <c r="W278">
        <v>0</v>
      </c>
      <c r="X278">
        <v>0</v>
      </c>
      <c r="Y278">
        <v>0.117774880486744</v>
      </c>
      <c r="Z278">
        <v>-2.8896672504378201E-2</v>
      </c>
      <c r="AA278">
        <v>-5.7759919638372598E-2</v>
      </c>
    </row>
    <row r="279" spans="1:27" x14ac:dyDescent="0.3">
      <c r="A279" s="4"/>
      <c r="B279" s="4"/>
      <c r="C279" s="4"/>
      <c r="D279" s="4"/>
      <c r="F279" t="s">
        <v>85</v>
      </c>
      <c r="G279">
        <f>AVERAGE(G278:AA278)</f>
        <v>6.7191061127958404E-2</v>
      </c>
      <c r="H279">
        <f>G279</f>
        <v>6.7191061127958404E-2</v>
      </c>
      <c r="I279">
        <f t="shared" ref="I279:AA279" si="40">H279</f>
        <v>6.7191061127958404E-2</v>
      </c>
      <c r="J279">
        <f t="shared" si="40"/>
        <v>6.7191061127958404E-2</v>
      </c>
      <c r="K279">
        <f t="shared" si="40"/>
        <v>6.7191061127958404E-2</v>
      </c>
      <c r="L279">
        <f t="shared" si="40"/>
        <v>6.7191061127958404E-2</v>
      </c>
      <c r="M279">
        <f t="shared" si="40"/>
        <v>6.7191061127958404E-2</v>
      </c>
      <c r="N279">
        <f t="shared" si="40"/>
        <v>6.7191061127958404E-2</v>
      </c>
      <c r="O279">
        <f t="shared" si="40"/>
        <v>6.7191061127958404E-2</v>
      </c>
      <c r="P279">
        <f t="shared" si="40"/>
        <v>6.7191061127958404E-2</v>
      </c>
      <c r="Q279">
        <f t="shared" si="40"/>
        <v>6.7191061127958404E-2</v>
      </c>
      <c r="R279">
        <f t="shared" si="40"/>
        <v>6.7191061127958404E-2</v>
      </c>
      <c r="S279">
        <f t="shared" si="40"/>
        <v>6.7191061127958404E-2</v>
      </c>
      <c r="T279">
        <f t="shared" si="40"/>
        <v>6.7191061127958404E-2</v>
      </c>
      <c r="U279">
        <f t="shared" si="40"/>
        <v>6.7191061127958404E-2</v>
      </c>
      <c r="V279">
        <f t="shared" si="40"/>
        <v>6.7191061127958404E-2</v>
      </c>
      <c r="W279">
        <f t="shared" si="40"/>
        <v>6.7191061127958404E-2</v>
      </c>
      <c r="X279">
        <f t="shared" si="40"/>
        <v>6.7191061127958404E-2</v>
      </c>
      <c r="Y279">
        <f t="shared" si="40"/>
        <v>6.7191061127958404E-2</v>
      </c>
      <c r="Z279">
        <f t="shared" si="40"/>
        <v>6.7191061127958404E-2</v>
      </c>
      <c r="AA279">
        <f t="shared" si="40"/>
        <v>6.7191061127958404E-2</v>
      </c>
    </row>
    <row r="280" spans="1:27" x14ac:dyDescent="0.3">
      <c r="A280" s="4"/>
      <c r="B280" s="4"/>
      <c r="C280" s="4"/>
      <c r="D280" s="4" t="s">
        <v>86</v>
      </c>
      <c r="E280" s="4"/>
      <c r="F280" s="4"/>
      <c r="G280">
        <f>AVERAGE(G271,G273,G275,G277,G279)</f>
        <v>6.9908912944939561E-2</v>
      </c>
    </row>
    <row r="281" spans="1:27" x14ac:dyDescent="0.3">
      <c r="A281" s="4"/>
      <c r="B281" s="4"/>
    </row>
    <row r="282" spans="1:27" x14ac:dyDescent="0.3">
      <c r="A282" s="4"/>
      <c r="B282" s="4"/>
      <c r="C282" s="4">
        <v>256</v>
      </c>
      <c r="D282" s="4">
        <v>64</v>
      </c>
      <c r="F282" t="s">
        <v>52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</row>
    <row r="283" spans="1:27" x14ac:dyDescent="0.3">
      <c r="A283" s="4"/>
      <c r="B283" s="4"/>
      <c r="C283" s="4"/>
      <c r="D283" s="4"/>
      <c r="F283" t="s">
        <v>80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</row>
    <row r="284" spans="1:27" x14ac:dyDescent="0.3">
      <c r="A284" s="4"/>
      <c r="B284" s="4"/>
      <c r="C284" s="4"/>
      <c r="D284" s="4">
        <v>128</v>
      </c>
      <c r="F284" t="s">
        <v>52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</row>
    <row r="285" spans="1:27" x14ac:dyDescent="0.3">
      <c r="A285" s="4"/>
      <c r="B285" s="4"/>
      <c r="C285" s="4"/>
      <c r="D285" s="4"/>
      <c r="F285" t="s">
        <v>81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</row>
    <row r="286" spans="1:27" x14ac:dyDescent="0.3">
      <c r="A286" s="4"/>
      <c r="B286" s="4"/>
      <c r="C286" s="4"/>
      <c r="D286" s="4">
        <v>256</v>
      </c>
      <c r="F286" t="s">
        <v>52</v>
      </c>
      <c r="G286">
        <v>0</v>
      </c>
      <c r="H286">
        <v>0</v>
      </c>
      <c r="I286">
        <v>0</v>
      </c>
      <c r="J286">
        <v>0.13636363636363599</v>
      </c>
      <c r="K286">
        <v>0.157244655581947</v>
      </c>
      <c r="L286">
        <v>0</v>
      </c>
      <c r="M286">
        <v>-3.34184759472115E-2</v>
      </c>
      <c r="N286">
        <v>6.1649659863945501E-2</v>
      </c>
      <c r="O286">
        <v>0.27104377104377098</v>
      </c>
      <c r="P286">
        <v>0</v>
      </c>
      <c r="Q286">
        <v>1.36452241715399E-2</v>
      </c>
      <c r="R286">
        <v>2.6771653543307E-2</v>
      </c>
      <c r="S286">
        <v>0.134860050890585</v>
      </c>
      <c r="T286">
        <v>2.0491803278688499E-2</v>
      </c>
      <c r="U286">
        <v>7.8151048708705994E-3</v>
      </c>
      <c r="V286">
        <v>0</v>
      </c>
      <c r="W286">
        <v>0</v>
      </c>
      <c r="X286">
        <v>0</v>
      </c>
      <c r="Y286">
        <v>7.38060781476121E-2</v>
      </c>
      <c r="Z286">
        <v>0</v>
      </c>
      <c r="AA286">
        <v>1.0852713178294501E-2</v>
      </c>
    </row>
    <row r="287" spans="1:27" x14ac:dyDescent="0.3">
      <c r="A287" s="4"/>
      <c r="B287" s="4"/>
      <c r="C287" s="4"/>
      <c r="D287" s="4"/>
      <c r="F287" t="s">
        <v>82</v>
      </c>
      <c r="G287">
        <f>AVERAGE(G286:AA286)</f>
        <v>4.1958374999380266E-2</v>
      </c>
      <c r="H287">
        <f>G287</f>
        <v>4.1958374999380266E-2</v>
      </c>
      <c r="I287">
        <f t="shared" ref="I287:AA287" si="41">H287</f>
        <v>4.1958374999380266E-2</v>
      </c>
      <c r="J287">
        <f t="shared" si="41"/>
        <v>4.1958374999380266E-2</v>
      </c>
      <c r="K287">
        <f t="shared" si="41"/>
        <v>4.1958374999380266E-2</v>
      </c>
      <c r="L287">
        <f t="shared" si="41"/>
        <v>4.1958374999380266E-2</v>
      </c>
      <c r="M287">
        <f t="shared" si="41"/>
        <v>4.1958374999380266E-2</v>
      </c>
      <c r="N287">
        <f t="shared" si="41"/>
        <v>4.1958374999380266E-2</v>
      </c>
      <c r="O287">
        <f t="shared" si="41"/>
        <v>4.1958374999380266E-2</v>
      </c>
      <c r="P287">
        <f t="shared" si="41"/>
        <v>4.1958374999380266E-2</v>
      </c>
      <c r="Q287">
        <f t="shared" si="41"/>
        <v>4.1958374999380266E-2</v>
      </c>
      <c r="R287">
        <f t="shared" si="41"/>
        <v>4.1958374999380266E-2</v>
      </c>
      <c r="S287">
        <f t="shared" si="41"/>
        <v>4.1958374999380266E-2</v>
      </c>
      <c r="T287">
        <f t="shared" si="41"/>
        <v>4.1958374999380266E-2</v>
      </c>
      <c r="U287">
        <f t="shared" si="41"/>
        <v>4.1958374999380266E-2</v>
      </c>
      <c r="V287">
        <f t="shared" si="41"/>
        <v>4.1958374999380266E-2</v>
      </c>
      <c r="W287">
        <f t="shared" si="41"/>
        <v>4.1958374999380266E-2</v>
      </c>
      <c r="X287">
        <f t="shared" si="41"/>
        <v>4.1958374999380266E-2</v>
      </c>
      <c r="Y287">
        <f t="shared" si="41"/>
        <v>4.1958374999380266E-2</v>
      </c>
      <c r="Z287">
        <f t="shared" si="41"/>
        <v>4.1958374999380266E-2</v>
      </c>
      <c r="AA287">
        <f t="shared" si="41"/>
        <v>4.1958374999380266E-2</v>
      </c>
    </row>
    <row r="288" spans="1:27" x14ac:dyDescent="0.3">
      <c r="A288" s="4"/>
      <c r="B288" s="4"/>
      <c r="C288" s="4"/>
      <c r="D288" s="4">
        <v>512</v>
      </c>
      <c r="F288" t="s">
        <v>52</v>
      </c>
      <c r="G288">
        <v>0</v>
      </c>
      <c r="H288">
        <v>0</v>
      </c>
      <c r="I288">
        <v>0</v>
      </c>
      <c r="J288">
        <v>0.13636363636363599</v>
      </c>
      <c r="K288">
        <v>0.117339667458432</v>
      </c>
      <c r="L288">
        <v>0</v>
      </c>
      <c r="M288">
        <v>-5.3639846743294998E-3</v>
      </c>
      <c r="N288">
        <v>2.3809523809523801E-2</v>
      </c>
      <c r="O288">
        <v>0.209876543209876</v>
      </c>
      <c r="P288">
        <v>0</v>
      </c>
      <c r="Q288">
        <v>1.36452241715399E-2</v>
      </c>
      <c r="R288">
        <v>2.6771653543307E-2</v>
      </c>
      <c r="S288">
        <v>0.134860050890585</v>
      </c>
      <c r="T288">
        <v>2.0491803278688499E-2</v>
      </c>
      <c r="U288">
        <v>3.2423463561015101E-4</v>
      </c>
      <c r="V288">
        <v>0</v>
      </c>
      <c r="W288">
        <v>0</v>
      </c>
      <c r="X288">
        <v>0</v>
      </c>
      <c r="Y288">
        <v>7.38060781476121E-2</v>
      </c>
      <c r="Z288">
        <v>-1.09649122807017E-2</v>
      </c>
      <c r="AA288">
        <v>-1.75710594315245E-2</v>
      </c>
    </row>
    <row r="289" spans="1:27" x14ac:dyDescent="0.3">
      <c r="A289" s="4"/>
      <c r="B289" s="4"/>
      <c r="C289" s="4"/>
      <c r="D289" s="4"/>
      <c r="F289" t="s">
        <v>83</v>
      </c>
      <c r="G289">
        <f>AVERAGE(G288:AA288)</f>
        <v>3.4447069482012135E-2</v>
      </c>
      <c r="H289">
        <f>G289</f>
        <v>3.4447069482012135E-2</v>
      </c>
      <c r="I289">
        <f t="shared" ref="I289:AA289" si="42">H289</f>
        <v>3.4447069482012135E-2</v>
      </c>
      <c r="J289">
        <f t="shared" si="42"/>
        <v>3.4447069482012135E-2</v>
      </c>
      <c r="K289">
        <f t="shared" si="42"/>
        <v>3.4447069482012135E-2</v>
      </c>
      <c r="L289">
        <f t="shared" si="42"/>
        <v>3.4447069482012135E-2</v>
      </c>
      <c r="M289">
        <f t="shared" si="42"/>
        <v>3.4447069482012135E-2</v>
      </c>
      <c r="N289">
        <f t="shared" si="42"/>
        <v>3.4447069482012135E-2</v>
      </c>
      <c r="O289">
        <f t="shared" si="42"/>
        <v>3.4447069482012135E-2</v>
      </c>
      <c r="P289">
        <f t="shared" si="42"/>
        <v>3.4447069482012135E-2</v>
      </c>
      <c r="Q289">
        <f t="shared" si="42"/>
        <v>3.4447069482012135E-2</v>
      </c>
      <c r="R289">
        <f t="shared" si="42"/>
        <v>3.4447069482012135E-2</v>
      </c>
      <c r="S289">
        <f t="shared" si="42"/>
        <v>3.4447069482012135E-2</v>
      </c>
      <c r="T289">
        <f t="shared" si="42"/>
        <v>3.4447069482012135E-2</v>
      </c>
      <c r="U289">
        <f t="shared" si="42"/>
        <v>3.4447069482012135E-2</v>
      </c>
      <c r="V289">
        <f t="shared" si="42"/>
        <v>3.4447069482012135E-2</v>
      </c>
      <c r="W289">
        <f t="shared" si="42"/>
        <v>3.4447069482012135E-2</v>
      </c>
      <c r="X289">
        <f t="shared" si="42"/>
        <v>3.4447069482012135E-2</v>
      </c>
      <c r="Y289">
        <f t="shared" si="42"/>
        <v>3.4447069482012135E-2</v>
      </c>
      <c r="Z289">
        <f t="shared" si="42"/>
        <v>3.4447069482012135E-2</v>
      </c>
      <c r="AA289">
        <f t="shared" si="42"/>
        <v>3.4447069482012135E-2</v>
      </c>
    </row>
    <row r="290" spans="1:27" x14ac:dyDescent="0.3">
      <c r="A290" s="4"/>
      <c r="B290" s="4"/>
      <c r="C290" s="4"/>
      <c r="D290" s="4">
        <v>1024</v>
      </c>
      <c r="F290" t="s">
        <v>52</v>
      </c>
      <c r="G290">
        <v>0</v>
      </c>
      <c r="H290">
        <v>0</v>
      </c>
      <c r="I290">
        <v>0</v>
      </c>
      <c r="J290">
        <v>0.13636363636363599</v>
      </c>
      <c r="K290">
        <v>0.12114014251781401</v>
      </c>
      <c r="L290">
        <v>0</v>
      </c>
      <c r="M290">
        <v>-4.5551298424861596E-3</v>
      </c>
      <c r="N290">
        <v>2.21088435374149E-2</v>
      </c>
      <c r="O290">
        <v>0.193322109988776</v>
      </c>
      <c r="P290">
        <v>0</v>
      </c>
      <c r="Q290">
        <v>1.36452241715399E-2</v>
      </c>
      <c r="R290">
        <v>2.6771653543307E-2</v>
      </c>
      <c r="S290">
        <v>0.134860050890585</v>
      </c>
      <c r="T290">
        <v>2.0491803278688499E-2</v>
      </c>
      <c r="U290">
        <v>-5.3255867071675504E-3</v>
      </c>
      <c r="V290">
        <v>0</v>
      </c>
      <c r="W290">
        <v>0</v>
      </c>
      <c r="X290">
        <v>0</v>
      </c>
      <c r="Y290">
        <v>7.38060781476121E-2</v>
      </c>
      <c r="Z290">
        <v>-1.09649122807017E-2</v>
      </c>
      <c r="AA290">
        <v>-2.3772609819121399E-2</v>
      </c>
    </row>
    <row r="291" spans="1:27" x14ac:dyDescent="0.3">
      <c r="A291" s="4"/>
      <c r="B291" s="4"/>
      <c r="C291" s="4"/>
      <c r="D291" s="4"/>
      <c r="F291" t="s">
        <v>84</v>
      </c>
      <c r="G291">
        <f>AVERAGE(G290:AA290)</f>
        <v>3.323291922809031E-2</v>
      </c>
      <c r="H291">
        <f>G291</f>
        <v>3.323291922809031E-2</v>
      </c>
      <c r="I291">
        <f t="shared" ref="I291:AA291" si="43">H291</f>
        <v>3.323291922809031E-2</v>
      </c>
      <c r="J291">
        <f t="shared" si="43"/>
        <v>3.323291922809031E-2</v>
      </c>
      <c r="K291">
        <f t="shared" si="43"/>
        <v>3.323291922809031E-2</v>
      </c>
      <c r="L291">
        <f t="shared" si="43"/>
        <v>3.323291922809031E-2</v>
      </c>
      <c r="M291">
        <f t="shared" si="43"/>
        <v>3.323291922809031E-2</v>
      </c>
      <c r="N291">
        <f t="shared" si="43"/>
        <v>3.323291922809031E-2</v>
      </c>
      <c r="O291">
        <f t="shared" si="43"/>
        <v>3.323291922809031E-2</v>
      </c>
      <c r="P291">
        <f t="shared" si="43"/>
        <v>3.323291922809031E-2</v>
      </c>
      <c r="Q291">
        <f t="shared" si="43"/>
        <v>3.323291922809031E-2</v>
      </c>
      <c r="R291">
        <f t="shared" si="43"/>
        <v>3.323291922809031E-2</v>
      </c>
      <c r="S291">
        <f t="shared" si="43"/>
        <v>3.323291922809031E-2</v>
      </c>
      <c r="T291">
        <f t="shared" si="43"/>
        <v>3.323291922809031E-2</v>
      </c>
      <c r="U291">
        <f t="shared" si="43"/>
        <v>3.323291922809031E-2</v>
      </c>
      <c r="V291">
        <f t="shared" si="43"/>
        <v>3.323291922809031E-2</v>
      </c>
      <c r="W291">
        <f t="shared" si="43"/>
        <v>3.323291922809031E-2</v>
      </c>
      <c r="X291">
        <f t="shared" si="43"/>
        <v>3.323291922809031E-2</v>
      </c>
      <c r="Y291">
        <f t="shared" si="43"/>
        <v>3.323291922809031E-2</v>
      </c>
      <c r="Z291">
        <f t="shared" si="43"/>
        <v>3.323291922809031E-2</v>
      </c>
      <c r="AA291">
        <f t="shared" si="43"/>
        <v>3.323291922809031E-2</v>
      </c>
    </row>
    <row r="292" spans="1:27" x14ac:dyDescent="0.3">
      <c r="A292" s="4"/>
      <c r="B292" s="4"/>
      <c r="C292" s="4"/>
      <c r="D292" s="4">
        <v>2048</v>
      </c>
      <c r="F292" t="s">
        <v>52</v>
      </c>
      <c r="G292">
        <v>0</v>
      </c>
      <c r="H292">
        <v>0</v>
      </c>
      <c r="I292">
        <v>0</v>
      </c>
      <c r="J292">
        <v>0.13636363636363599</v>
      </c>
      <c r="K292">
        <v>0.123040380047505</v>
      </c>
      <c r="L292">
        <v>0</v>
      </c>
      <c r="M292">
        <v>-8.3014048531289894E-3</v>
      </c>
      <c r="N292">
        <v>1.5731292517006799E-2</v>
      </c>
      <c r="O292">
        <v>0.193041526374859</v>
      </c>
      <c r="P292">
        <v>0</v>
      </c>
      <c r="Q292">
        <v>1.36452241715399E-2</v>
      </c>
      <c r="R292">
        <v>2.6771653543307E-2</v>
      </c>
      <c r="S292">
        <v>0.134860050890585</v>
      </c>
      <c r="T292">
        <v>2.0491803278688499E-2</v>
      </c>
      <c r="U292">
        <v>-7.2447407041798702E-3</v>
      </c>
      <c r="V292">
        <v>0</v>
      </c>
      <c r="W292">
        <v>0</v>
      </c>
      <c r="X292">
        <v>0</v>
      </c>
      <c r="Y292">
        <v>7.38060781476121E-2</v>
      </c>
      <c r="Z292">
        <v>-1.5789473684210499E-2</v>
      </c>
      <c r="AA292">
        <v>-2.3255813953488299E-2</v>
      </c>
    </row>
    <row r="293" spans="1:27" x14ac:dyDescent="0.3">
      <c r="A293" s="4"/>
      <c r="B293" s="4"/>
      <c r="C293" s="4"/>
      <c r="D293" s="4"/>
      <c r="F293" t="s">
        <v>85</v>
      </c>
      <c r="G293">
        <f>AVERAGE(G292:AA292)</f>
        <v>3.2531438673320548E-2</v>
      </c>
      <c r="H293">
        <f>G293</f>
        <v>3.2531438673320548E-2</v>
      </c>
      <c r="I293">
        <f t="shared" ref="I293:AA293" si="44">H293</f>
        <v>3.2531438673320548E-2</v>
      </c>
      <c r="J293">
        <f t="shared" si="44"/>
        <v>3.2531438673320548E-2</v>
      </c>
      <c r="K293">
        <f t="shared" si="44"/>
        <v>3.2531438673320548E-2</v>
      </c>
      <c r="L293">
        <f t="shared" si="44"/>
        <v>3.2531438673320548E-2</v>
      </c>
      <c r="M293">
        <f t="shared" si="44"/>
        <v>3.2531438673320548E-2</v>
      </c>
      <c r="N293">
        <f t="shared" si="44"/>
        <v>3.2531438673320548E-2</v>
      </c>
      <c r="O293">
        <f t="shared" si="44"/>
        <v>3.2531438673320548E-2</v>
      </c>
      <c r="P293">
        <f t="shared" si="44"/>
        <v>3.2531438673320548E-2</v>
      </c>
      <c r="Q293">
        <f t="shared" si="44"/>
        <v>3.2531438673320548E-2</v>
      </c>
      <c r="R293">
        <f t="shared" si="44"/>
        <v>3.2531438673320548E-2</v>
      </c>
      <c r="S293">
        <f t="shared" si="44"/>
        <v>3.2531438673320548E-2</v>
      </c>
      <c r="T293">
        <f t="shared" si="44"/>
        <v>3.2531438673320548E-2</v>
      </c>
      <c r="U293">
        <f t="shared" si="44"/>
        <v>3.2531438673320548E-2</v>
      </c>
      <c r="V293">
        <f t="shared" si="44"/>
        <v>3.2531438673320548E-2</v>
      </c>
      <c r="W293">
        <f t="shared" si="44"/>
        <v>3.2531438673320548E-2</v>
      </c>
      <c r="X293">
        <f t="shared" si="44"/>
        <v>3.2531438673320548E-2</v>
      </c>
      <c r="Y293">
        <f t="shared" si="44"/>
        <v>3.2531438673320548E-2</v>
      </c>
      <c r="Z293">
        <f t="shared" si="44"/>
        <v>3.2531438673320548E-2</v>
      </c>
      <c r="AA293">
        <f t="shared" si="44"/>
        <v>3.2531438673320548E-2</v>
      </c>
    </row>
    <row r="294" spans="1:27" x14ac:dyDescent="0.3">
      <c r="A294" s="4"/>
      <c r="B294" s="4"/>
      <c r="C294" s="4"/>
      <c r="D294" s="4" t="s">
        <v>86</v>
      </c>
      <c r="E294" s="4"/>
      <c r="F294" s="4"/>
      <c r="G294">
        <f>AVERAGE(G287,G289,G291,G293)</f>
        <v>3.5542450595700811E-2</v>
      </c>
    </row>
    <row r="295" spans="1:27" x14ac:dyDescent="0.3">
      <c r="A295" s="4"/>
      <c r="B295" s="4"/>
    </row>
    <row r="296" spans="1:27" x14ac:dyDescent="0.3">
      <c r="A296" s="4"/>
      <c r="B296" s="4"/>
      <c r="C296" s="4">
        <v>512</v>
      </c>
      <c r="D296" s="4">
        <v>64</v>
      </c>
      <c r="F296" t="s">
        <v>52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</row>
    <row r="297" spans="1:27" x14ac:dyDescent="0.3">
      <c r="A297" s="4"/>
      <c r="B297" s="4"/>
      <c r="C297" s="4"/>
      <c r="D297" s="4"/>
      <c r="F297" t="s">
        <v>80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</row>
    <row r="298" spans="1:27" x14ac:dyDescent="0.3">
      <c r="A298" s="4"/>
      <c r="B298" s="4"/>
      <c r="C298" s="4"/>
      <c r="D298" s="4">
        <v>128</v>
      </c>
      <c r="F298" t="s">
        <v>52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</row>
    <row r="299" spans="1:27" x14ac:dyDescent="0.3">
      <c r="A299" s="4"/>
      <c r="B299" s="4"/>
      <c r="C299" s="4"/>
      <c r="D299" s="4"/>
      <c r="F299" t="s">
        <v>81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</row>
    <row r="300" spans="1:27" x14ac:dyDescent="0.3">
      <c r="A300" s="4"/>
      <c r="B300" s="4"/>
      <c r="C300" s="4"/>
      <c r="D300" s="4">
        <v>256</v>
      </c>
      <c r="F300" t="s">
        <v>52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</row>
    <row r="301" spans="1:27" x14ac:dyDescent="0.3">
      <c r="A301" s="4"/>
      <c r="B301" s="4"/>
      <c r="C301" s="4"/>
      <c r="D301" s="4"/>
      <c r="F301" t="s">
        <v>82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</row>
    <row r="302" spans="1:27" x14ac:dyDescent="0.3">
      <c r="A302" s="4"/>
      <c r="B302" s="4"/>
      <c r="C302" s="4"/>
      <c r="D302" s="4">
        <v>512</v>
      </c>
      <c r="F302" t="s">
        <v>52</v>
      </c>
      <c r="G302">
        <v>0</v>
      </c>
      <c r="H302">
        <v>0</v>
      </c>
      <c r="I302">
        <v>0</v>
      </c>
      <c r="J302">
        <v>0</v>
      </c>
      <c r="K302">
        <v>0.112722478576137</v>
      </c>
      <c r="L302">
        <v>0</v>
      </c>
      <c r="M302">
        <v>0.28137887279264001</v>
      </c>
      <c r="N302">
        <v>2.6583961010190501E-2</v>
      </c>
      <c r="O302">
        <v>0.17827795641300401</v>
      </c>
      <c r="P302">
        <v>0</v>
      </c>
      <c r="Q302">
        <v>0</v>
      </c>
      <c r="R302">
        <v>0</v>
      </c>
      <c r="S302">
        <v>4.3923865300146397E-3</v>
      </c>
      <c r="T302">
        <v>0</v>
      </c>
      <c r="U302">
        <v>7.7869170297659596E-3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6.3025210084033598E-3</v>
      </c>
    </row>
    <row r="303" spans="1:27" x14ac:dyDescent="0.3">
      <c r="A303" s="4"/>
      <c r="B303" s="4"/>
      <c r="C303" s="4"/>
      <c r="D303" s="4"/>
      <c r="F303" t="s">
        <v>83</v>
      </c>
      <c r="G303">
        <f>AVERAGE(G302:AA302)</f>
        <v>2.9402147302864542E-2</v>
      </c>
      <c r="H303">
        <f>G303</f>
        <v>2.9402147302864542E-2</v>
      </c>
      <c r="I303">
        <f t="shared" ref="I303:AA303" si="45">H303</f>
        <v>2.9402147302864542E-2</v>
      </c>
      <c r="J303">
        <f t="shared" si="45"/>
        <v>2.9402147302864542E-2</v>
      </c>
      <c r="K303">
        <f t="shared" si="45"/>
        <v>2.9402147302864542E-2</v>
      </c>
      <c r="L303">
        <f t="shared" si="45"/>
        <v>2.9402147302864542E-2</v>
      </c>
      <c r="M303">
        <f t="shared" si="45"/>
        <v>2.9402147302864542E-2</v>
      </c>
      <c r="N303">
        <f t="shared" si="45"/>
        <v>2.9402147302864542E-2</v>
      </c>
      <c r="O303">
        <f t="shared" si="45"/>
        <v>2.9402147302864542E-2</v>
      </c>
      <c r="P303">
        <f t="shared" si="45"/>
        <v>2.9402147302864542E-2</v>
      </c>
      <c r="Q303">
        <f t="shared" si="45"/>
        <v>2.9402147302864542E-2</v>
      </c>
      <c r="R303">
        <f t="shared" si="45"/>
        <v>2.9402147302864542E-2</v>
      </c>
      <c r="S303">
        <f t="shared" si="45"/>
        <v>2.9402147302864542E-2</v>
      </c>
      <c r="T303">
        <f t="shared" si="45"/>
        <v>2.9402147302864542E-2</v>
      </c>
      <c r="U303">
        <f t="shared" si="45"/>
        <v>2.9402147302864542E-2</v>
      </c>
      <c r="V303">
        <f t="shared" si="45"/>
        <v>2.9402147302864542E-2</v>
      </c>
      <c r="W303">
        <f t="shared" si="45"/>
        <v>2.9402147302864542E-2</v>
      </c>
      <c r="X303">
        <f t="shared" si="45"/>
        <v>2.9402147302864542E-2</v>
      </c>
      <c r="Y303">
        <f t="shared" si="45"/>
        <v>2.9402147302864542E-2</v>
      </c>
      <c r="Z303">
        <f t="shared" si="45"/>
        <v>2.9402147302864542E-2</v>
      </c>
      <c r="AA303">
        <f t="shared" si="45"/>
        <v>2.9402147302864542E-2</v>
      </c>
    </row>
    <row r="304" spans="1:27" x14ac:dyDescent="0.3">
      <c r="A304" s="4"/>
      <c r="B304" s="4"/>
      <c r="C304" s="4"/>
      <c r="D304" s="4">
        <v>1024</v>
      </c>
      <c r="F304" t="s">
        <v>52</v>
      </c>
      <c r="G304">
        <v>0</v>
      </c>
      <c r="H304">
        <v>0</v>
      </c>
      <c r="I304">
        <v>0</v>
      </c>
      <c r="J304">
        <v>0</v>
      </c>
      <c r="K304">
        <v>0.112722478576137</v>
      </c>
      <c r="L304">
        <v>0</v>
      </c>
      <c r="M304">
        <v>0.34175742835994499</v>
      </c>
      <c r="N304">
        <v>2.6140894993354001E-2</v>
      </c>
      <c r="O304">
        <v>0.16827438370846701</v>
      </c>
      <c r="P304">
        <v>0</v>
      </c>
      <c r="Q304">
        <v>0</v>
      </c>
      <c r="R304">
        <v>0</v>
      </c>
      <c r="S304">
        <v>4.3923865300146397E-3</v>
      </c>
      <c r="T304">
        <v>0</v>
      </c>
      <c r="U304">
        <v>-9.3340128420822694E-3</v>
      </c>
      <c r="V304">
        <v>0</v>
      </c>
      <c r="W304">
        <v>0</v>
      </c>
      <c r="X304">
        <v>0</v>
      </c>
      <c r="Y304">
        <v>0</v>
      </c>
      <c r="Z304">
        <v>-2.6315789473684201E-3</v>
      </c>
      <c r="AA304">
        <v>6.3025210084033598E-3</v>
      </c>
    </row>
    <row r="305" spans="1:27" x14ac:dyDescent="0.3">
      <c r="A305" s="4"/>
      <c r="B305" s="4"/>
      <c r="C305" s="4"/>
      <c r="D305" s="4"/>
      <c r="F305" t="s">
        <v>84</v>
      </c>
      <c r="G305">
        <f>AVERAGE(G304:AA304)</f>
        <v>3.0839261970803344E-2</v>
      </c>
      <c r="H305">
        <f>G305</f>
        <v>3.0839261970803344E-2</v>
      </c>
      <c r="I305">
        <f t="shared" ref="I305:AA305" si="46">H305</f>
        <v>3.0839261970803344E-2</v>
      </c>
      <c r="J305">
        <f t="shared" si="46"/>
        <v>3.0839261970803344E-2</v>
      </c>
      <c r="K305">
        <f t="shared" si="46"/>
        <v>3.0839261970803344E-2</v>
      </c>
      <c r="L305">
        <f t="shared" si="46"/>
        <v>3.0839261970803344E-2</v>
      </c>
      <c r="M305">
        <f t="shared" si="46"/>
        <v>3.0839261970803344E-2</v>
      </c>
      <c r="N305">
        <f t="shared" si="46"/>
        <v>3.0839261970803344E-2</v>
      </c>
      <c r="O305">
        <f t="shared" si="46"/>
        <v>3.0839261970803344E-2</v>
      </c>
      <c r="P305">
        <f t="shared" si="46"/>
        <v>3.0839261970803344E-2</v>
      </c>
      <c r="Q305">
        <f t="shared" si="46"/>
        <v>3.0839261970803344E-2</v>
      </c>
      <c r="R305">
        <f t="shared" si="46"/>
        <v>3.0839261970803344E-2</v>
      </c>
      <c r="S305">
        <f t="shared" si="46"/>
        <v>3.0839261970803344E-2</v>
      </c>
      <c r="T305">
        <f t="shared" si="46"/>
        <v>3.0839261970803344E-2</v>
      </c>
      <c r="U305">
        <f t="shared" si="46"/>
        <v>3.0839261970803344E-2</v>
      </c>
      <c r="V305">
        <f t="shared" si="46"/>
        <v>3.0839261970803344E-2</v>
      </c>
      <c r="W305">
        <f t="shared" si="46"/>
        <v>3.0839261970803344E-2</v>
      </c>
      <c r="X305">
        <f t="shared" si="46"/>
        <v>3.0839261970803344E-2</v>
      </c>
      <c r="Y305">
        <f t="shared" si="46"/>
        <v>3.0839261970803344E-2</v>
      </c>
      <c r="Z305">
        <f t="shared" si="46"/>
        <v>3.0839261970803344E-2</v>
      </c>
      <c r="AA305">
        <f t="shared" si="46"/>
        <v>3.0839261970803344E-2</v>
      </c>
    </row>
    <row r="306" spans="1:27" x14ac:dyDescent="0.3">
      <c r="A306" s="4"/>
      <c r="B306" s="4"/>
      <c r="C306" s="4"/>
      <c r="D306" s="4">
        <v>2048</v>
      </c>
      <c r="F306" t="s">
        <v>52</v>
      </c>
      <c r="G306">
        <v>0</v>
      </c>
      <c r="H306">
        <v>0</v>
      </c>
      <c r="I306">
        <v>0</v>
      </c>
      <c r="J306">
        <v>0</v>
      </c>
      <c r="K306">
        <v>0.112722478576137</v>
      </c>
      <c r="L306">
        <v>0</v>
      </c>
      <c r="M306">
        <v>0.33573014698107201</v>
      </c>
      <c r="N306">
        <v>2.6583961010190501E-2</v>
      </c>
      <c r="O306">
        <v>0.17399071096820201</v>
      </c>
      <c r="P306">
        <v>0</v>
      </c>
      <c r="Q306">
        <v>0</v>
      </c>
      <c r="R306">
        <v>0</v>
      </c>
      <c r="S306">
        <v>4.3923865300146397E-3</v>
      </c>
      <c r="T306">
        <v>0</v>
      </c>
      <c r="U306">
        <v>-1.85635670410823E-2</v>
      </c>
      <c r="V306">
        <v>0</v>
      </c>
      <c r="W306">
        <v>0</v>
      </c>
      <c r="X306">
        <v>0</v>
      </c>
      <c r="Y306">
        <v>0</v>
      </c>
      <c r="Z306">
        <v>-1.7543859649122801E-3</v>
      </c>
      <c r="AA306">
        <v>6.3025210084033598E-3</v>
      </c>
    </row>
    <row r="307" spans="1:27" x14ac:dyDescent="0.3">
      <c r="A307" s="4"/>
      <c r="B307" s="4"/>
      <c r="C307" s="4"/>
      <c r="D307" s="4"/>
      <c r="F307" t="s">
        <v>85</v>
      </c>
      <c r="G307">
        <f>AVERAGE(G306:AA306)</f>
        <v>3.0447821527048804E-2</v>
      </c>
      <c r="H307">
        <f>G307</f>
        <v>3.0447821527048804E-2</v>
      </c>
      <c r="I307">
        <f t="shared" ref="I307:AA307" si="47">H307</f>
        <v>3.0447821527048804E-2</v>
      </c>
      <c r="J307">
        <f t="shared" si="47"/>
        <v>3.0447821527048804E-2</v>
      </c>
      <c r="K307">
        <f t="shared" si="47"/>
        <v>3.0447821527048804E-2</v>
      </c>
      <c r="L307">
        <f t="shared" si="47"/>
        <v>3.0447821527048804E-2</v>
      </c>
      <c r="M307">
        <f t="shared" si="47"/>
        <v>3.0447821527048804E-2</v>
      </c>
      <c r="N307">
        <f t="shared" si="47"/>
        <v>3.0447821527048804E-2</v>
      </c>
      <c r="O307">
        <f t="shared" si="47"/>
        <v>3.0447821527048804E-2</v>
      </c>
      <c r="P307">
        <f t="shared" si="47"/>
        <v>3.0447821527048804E-2</v>
      </c>
      <c r="Q307">
        <f t="shared" si="47"/>
        <v>3.0447821527048804E-2</v>
      </c>
      <c r="R307">
        <f t="shared" si="47"/>
        <v>3.0447821527048804E-2</v>
      </c>
      <c r="S307">
        <f t="shared" si="47"/>
        <v>3.0447821527048804E-2</v>
      </c>
      <c r="T307">
        <f t="shared" si="47"/>
        <v>3.0447821527048804E-2</v>
      </c>
      <c r="U307">
        <f t="shared" si="47"/>
        <v>3.0447821527048804E-2</v>
      </c>
      <c r="V307">
        <f t="shared" si="47"/>
        <v>3.0447821527048804E-2</v>
      </c>
      <c r="W307">
        <f t="shared" si="47"/>
        <v>3.0447821527048804E-2</v>
      </c>
      <c r="X307">
        <f t="shared" si="47"/>
        <v>3.0447821527048804E-2</v>
      </c>
      <c r="Y307">
        <f t="shared" si="47"/>
        <v>3.0447821527048804E-2</v>
      </c>
      <c r="Z307">
        <f t="shared" si="47"/>
        <v>3.0447821527048804E-2</v>
      </c>
      <c r="AA307">
        <f t="shared" si="47"/>
        <v>3.0447821527048804E-2</v>
      </c>
    </row>
    <row r="308" spans="1:27" x14ac:dyDescent="0.3">
      <c r="A308" s="4"/>
      <c r="B308" s="4"/>
      <c r="C308" s="4"/>
      <c r="D308" s="4" t="s">
        <v>86</v>
      </c>
      <c r="E308" s="4"/>
      <c r="F308" s="4"/>
      <c r="G308">
        <f>AVERAGE(G303,G305,G307)</f>
        <v>3.02297436002389E-2</v>
      </c>
    </row>
  </sheetData>
  <mergeCells count="158">
    <mergeCell ref="A240:A308"/>
    <mergeCell ref="D306:D307"/>
    <mergeCell ref="B240:B308"/>
    <mergeCell ref="D284:D285"/>
    <mergeCell ref="D286:D287"/>
    <mergeCell ref="D288:D289"/>
    <mergeCell ref="D290:D291"/>
    <mergeCell ref="D292:D293"/>
    <mergeCell ref="D296:D297"/>
    <mergeCell ref="D298:D299"/>
    <mergeCell ref="D300:D301"/>
    <mergeCell ref="D302:D303"/>
    <mergeCell ref="D262:D263"/>
    <mergeCell ref="D264:D265"/>
    <mergeCell ref="D268:D269"/>
    <mergeCell ref="D270:D271"/>
    <mergeCell ref="D272:D273"/>
    <mergeCell ref="D274:D275"/>
    <mergeCell ref="D276:D277"/>
    <mergeCell ref="D278:D279"/>
    <mergeCell ref="D282:D283"/>
    <mergeCell ref="D242:D243"/>
    <mergeCell ref="D244:D245"/>
    <mergeCell ref="D246:D247"/>
    <mergeCell ref="AI85:AJ85"/>
    <mergeCell ref="AK85:AL85"/>
    <mergeCell ref="AM85:AN85"/>
    <mergeCell ref="AO85:AP85"/>
    <mergeCell ref="AQ85:AR85"/>
    <mergeCell ref="D280:F280"/>
    <mergeCell ref="D294:F294"/>
    <mergeCell ref="D308:F308"/>
    <mergeCell ref="C240:C252"/>
    <mergeCell ref="C254:C266"/>
    <mergeCell ref="C268:C280"/>
    <mergeCell ref="C282:C294"/>
    <mergeCell ref="C296:C308"/>
    <mergeCell ref="D240:D241"/>
    <mergeCell ref="D248:D249"/>
    <mergeCell ref="D250:D251"/>
    <mergeCell ref="D254:D255"/>
    <mergeCell ref="D256:D257"/>
    <mergeCell ref="D258:D259"/>
    <mergeCell ref="D260:D261"/>
    <mergeCell ref="D238:AA238"/>
    <mergeCell ref="D252:F252"/>
    <mergeCell ref="D266:F266"/>
    <mergeCell ref="D304:D305"/>
    <mergeCell ref="G4:H4"/>
    <mergeCell ref="I4:J4"/>
    <mergeCell ref="K4:L4"/>
    <mergeCell ref="Y86:Z86"/>
    <mergeCell ref="AA86:AB86"/>
    <mergeCell ref="AC86:AD86"/>
    <mergeCell ref="AO86:AP86"/>
    <mergeCell ref="AQ86:AR86"/>
    <mergeCell ref="AE86:AF86"/>
    <mergeCell ref="AG86:AH86"/>
    <mergeCell ref="AI86:AJ86"/>
    <mergeCell ref="AC4:AD4"/>
    <mergeCell ref="G86:H86"/>
    <mergeCell ref="I86:J86"/>
    <mergeCell ref="K86:L86"/>
    <mergeCell ref="M86:N86"/>
    <mergeCell ref="O86:P86"/>
    <mergeCell ref="Q86:R86"/>
    <mergeCell ref="S86:T86"/>
    <mergeCell ref="U86:V86"/>
    <mergeCell ref="W86:X86"/>
    <mergeCell ref="AK86:AL86"/>
    <mergeCell ref="AM86:AN86"/>
    <mergeCell ref="AE85:AF85"/>
    <mergeCell ref="F2:AR2"/>
    <mergeCell ref="G3:H3"/>
    <mergeCell ref="I3:J3"/>
    <mergeCell ref="K3:L3"/>
    <mergeCell ref="M3:N3"/>
    <mergeCell ref="O3:P3"/>
    <mergeCell ref="Q3:R3"/>
    <mergeCell ref="S3:T3"/>
    <mergeCell ref="U3:V3"/>
    <mergeCell ref="W3:X3"/>
    <mergeCell ref="AK3:AL3"/>
    <mergeCell ref="AM3:AN3"/>
    <mergeCell ref="AO3:AP3"/>
    <mergeCell ref="AQ3:AR3"/>
    <mergeCell ref="AG3:AH3"/>
    <mergeCell ref="AI3:AJ3"/>
    <mergeCell ref="AE3:AF3"/>
    <mergeCell ref="M4:N4"/>
    <mergeCell ref="O4:P4"/>
    <mergeCell ref="Q4:R4"/>
    <mergeCell ref="Y3:Z3"/>
    <mergeCell ref="AA3:AB3"/>
    <mergeCell ref="AC3:AD3"/>
    <mergeCell ref="AC157:AD157"/>
    <mergeCell ref="AE157:AF157"/>
    <mergeCell ref="AG157:AH157"/>
    <mergeCell ref="O157:P157"/>
    <mergeCell ref="Q157:R157"/>
    <mergeCell ref="S157:T157"/>
    <mergeCell ref="W157:X157"/>
    <mergeCell ref="Y157:Z157"/>
    <mergeCell ref="AA157:AB157"/>
    <mergeCell ref="S4:T4"/>
    <mergeCell ref="U4:V4"/>
    <mergeCell ref="W4:X4"/>
    <mergeCell ref="Y4:Z4"/>
    <mergeCell ref="AA4:AB4"/>
    <mergeCell ref="AG85:AH85"/>
    <mergeCell ref="AI157:AJ157"/>
    <mergeCell ref="AQ4:AR4"/>
    <mergeCell ref="AE4:AF4"/>
    <mergeCell ref="AG4:AH4"/>
    <mergeCell ref="AI4:AJ4"/>
    <mergeCell ref="AK4:AL4"/>
    <mergeCell ref="AM4:AN4"/>
    <mergeCell ref="AO4:AP4"/>
    <mergeCell ref="F84:AR84"/>
    <mergeCell ref="G85:H85"/>
    <mergeCell ref="I85:J85"/>
    <mergeCell ref="K85:L85"/>
    <mergeCell ref="M85:N85"/>
    <mergeCell ref="O85:P85"/>
    <mergeCell ref="Q85:R85"/>
    <mergeCell ref="S85:T85"/>
    <mergeCell ref="U85:V85"/>
    <mergeCell ref="W85:X85"/>
    <mergeCell ref="Y85:Z85"/>
    <mergeCell ref="AA85:AB85"/>
    <mergeCell ref="AC85:AD85"/>
    <mergeCell ref="I157:J157"/>
    <mergeCell ref="K157:L157"/>
    <mergeCell ref="M157:N157"/>
    <mergeCell ref="AO158:AP158"/>
    <mergeCell ref="AQ158:AR158"/>
    <mergeCell ref="F156:T156"/>
    <mergeCell ref="AE158:AF158"/>
    <mergeCell ref="AG158:AH158"/>
    <mergeCell ref="AI158:AJ158"/>
    <mergeCell ref="AK158:AL158"/>
    <mergeCell ref="AM158:AN158"/>
    <mergeCell ref="AK157:AL157"/>
    <mergeCell ref="AM157:AN157"/>
    <mergeCell ref="AO157:AP157"/>
    <mergeCell ref="AQ157:AR157"/>
    <mergeCell ref="G158:H158"/>
    <mergeCell ref="I158:J158"/>
    <mergeCell ref="K158:L158"/>
    <mergeCell ref="M158:N158"/>
    <mergeCell ref="O158:P158"/>
    <mergeCell ref="Q158:R158"/>
    <mergeCell ref="S158:T158"/>
    <mergeCell ref="W158:X158"/>
    <mergeCell ref="Y158:Z158"/>
    <mergeCell ref="AA158:AB158"/>
    <mergeCell ref="AC158:AD158"/>
    <mergeCell ref="G157:H157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Sheet5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Amruth</dc:creator>
  <cp:lastModifiedBy> </cp:lastModifiedBy>
  <dcterms:created xsi:type="dcterms:W3CDTF">2025-07-28T15:13:44Z</dcterms:created>
  <dcterms:modified xsi:type="dcterms:W3CDTF">2025-11-28T20:26:02Z</dcterms:modified>
</cp:coreProperties>
</file>