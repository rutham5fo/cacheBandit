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88\Documents\Amruth\Files\Projects\SpMV\docs\"/>
    </mc:Choice>
  </mc:AlternateContent>
  <xr:revisionPtr revIDLastSave="0" documentId="13_ncr:1_{F3F25738-8FC3-4FC3-A623-F69E1F058759}" xr6:coauthVersionLast="47" xr6:coauthVersionMax="47" xr10:uidLastSave="{00000000-0000-0000-0000-000000000000}"/>
  <bookViews>
    <workbookView xWindow="-108" yWindow="-108" windowWidth="23256" windowHeight="12456" activeTab="4" xr2:uid="{C4CDEA3B-1686-49FD-8414-9D1FD93CDC23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5" i="5" l="1"/>
  <c r="U26" i="5"/>
  <c r="T25" i="5"/>
  <c r="T26" i="5"/>
  <c r="S25" i="5"/>
  <c r="S26" i="5"/>
  <c r="R25" i="5"/>
  <c r="R26" i="5"/>
  <c r="Q25" i="5"/>
  <c r="Q26" i="5"/>
  <c r="P25" i="5"/>
  <c r="P26" i="5"/>
  <c r="O25" i="5"/>
  <c r="O26" i="5"/>
  <c r="N25" i="5"/>
  <c r="N26" i="5"/>
  <c r="M25" i="5"/>
  <c r="M26" i="5"/>
  <c r="L25" i="5"/>
  <c r="L26" i="5"/>
  <c r="K25" i="5"/>
  <c r="K26" i="5"/>
  <c r="J25" i="5"/>
  <c r="J26" i="5"/>
  <c r="I26" i="5"/>
  <c r="I25" i="5"/>
  <c r="H25" i="5"/>
  <c r="H26" i="5"/>
  <c r="G26" i="5"/>
  <c r="G25" i="5"/>
  <c r="F25" i="5"/>
  <c r="F26" i="5"/>
  <c r="E26" i="5"/>
  <c r="E25" i="5"/>
  <c r="D25" i="5"/>
  <c r="D26" i="5"/>
  <c r="C26" i="5"/>
  <c r="C25" i="5"/>
  <c r="U27" i="5"/>
  <c r="AN13" i="5"/>
  <c r="AM13" i="5"/>
  <c r="AN8" i="5"/>
  <c r="AN10" i="5" s="1"/>
  <c r="AM8" i="5"/>
  <c r="AM10" i="5" s="1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T27" i="5"/>
  <c r="S27" i="5"/>
  <c r="R27" i="5"/>
  <c r="AL13" i="5"/>
  <c r="AK13" i="5"/>
  <c r="AL8" i="5"/>
  <c r="AL10" i="5" s="1"/>
  <c r="AK8" i="5"/>
  <c r="AK10" i="5" s="1"/>
  <c r="AA13" i="5"/>
  <c r="AB13" i="5"/>
  <c r="AC13" i="5"/>
  <c r="AD13" i="5"/>
  <c r="AE13" i="5"/>
  <c r="AF13" i="5"/>
  <c r="AA8" i="5"/>
  <c r="AA10" i="5" s="1"/>
  <c r="AB8" i="5"/>
  <c r="AB10" i="5" s="1"/>
  <c r="AC8" i="5"/>
  <c r="AC9" i="5" s="1"/>
  <c r="AD8" i="5"/>
  <c r="AD10" i="5" s="1"/>
  <c r="AE8" i="5"/>
  <c r="AE10" i="5" s="1"/>
  <c r="AF8" i="5"/>
  <c r="AF9" i="5" s="1"/>
  <c r="Y13" i="5"/>
  <c r="Z13" i="5"/>
  <c r="Y8" i="5"/>
  <c r="Y10" i="5" s="1"/>
  <c r="Z8" i="5"/>
  <c r="Z10" i="5" s="1"/>
  <c r="AI37" i="4"/>
  <c r="AJ37" i="4"/>
  <c r="AK37" i="4"/>
  <c r="AI36" i="4"/>
  <c r="AJ36" i="4"/>
  <c r="AK36" i="4"/>
  <c r="AI35" i="4"/>
  <c r="AJ35" i="4"/>
  <c r="AK35" i="4"/>
  <c r="AI34" i="4"/>
  <c r="AJ34" i="4"/>
  <c r="AK34" i="4"/>
  <c r="Y34" i="4"/>
  <c r="Z34" i="4"/>
  <c r="AA34" i="4"/>
  <c r="AA36" i="4" s="1"/>
  <c r="AB34" i="4"/>
  <c r="AB36" i="4" s="1"/>
  <c r="AC34" i="4"/>
  <c r="AC36" i="4" s="1"/>
  <c r="AD34" i="4"/>
  <c r="AD36" i="4" s="1"/>
  <c r="AE34" i="4"/>
  <c r="AE36" i="4" s="1"/>
  <c r="AF34" i="4"/>
  <c r="AF36" i="4" s="1"/>
  <c r="AG34" i="4"/>
  <c r="AG36" i="4" s="1"/>
  <c r="AH34" i="4"/>
  <c r="AH36" i="4" s="1"/>
  <c r="X34" i="4"/>
  <c r="Z36" i="4"/>
  <c r="Y36" i="4"/>
  <c r="X36" i="4"/>
  <c r="AF35" i="4"/>
  <c r="AE35" i="4"/>
  <c r="AD35" i="4"/>
  <c r="AC35" i="4"/>
  <c r="AB35" i="4"/>
  <c r="AA35" i="4"/>
  <c r="Z35" i="4"/>
  <c r="Y35" i="4"/>
  <c r="X35" i="4"/>
  <c r="AJ13" i="5"/>
  <c r="AI13" i="5"/>
  <c r="AH13" i="5"/>
  <c r="AG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AJ8" i="5"/>
  <c r="AJ10" i="5" s="1"/>
  <c r="AI8" i="5"/>
  <c r="AI10" i="5" s="1"/>
  <c r="AH8" i="5"/>
  <c r="AH9" i="5" s="1"/>
  <c r="AG8" i="5"/>
  <c r="AG9" i="5" s="1"/>
  <c r="X8" i="5"/>
  <c r="X10" i="5" s="1"/>
  <c r="W8" i="5"/>
  <c r="W10" i="5" s="1"/>
  <c r="V8" i="5"/>
  <c r="V10" i="5" s="1"/>
  <c r="U8" i="5"/>
  <c r="U10" i="5" s="1"/>
  <c r="T8" i="5"/>
  <c r="T10" i="5" s="1"/>
  <c r="S8" i="5"/>
  <c r="S10" i="5" s="1"/>
  <c r="R8" i="5"/>
  <c r="R9" i="5" s="1"/>
  <c r="Q8" i="5"/>
  <c r="Q9" i="5" s="1"/>
  <c r="P8" i="5"/>
  <c r="P10" i="5" s="1"/>
  <c r="O8" i="5"/>
  <c r="O10" i="5" s="1"/>
  <c r="N8" i="5"/>
  <c r="N9" i="5" s="1"/>
  <c r="M8" i="5"/>
  <c r="M10" i="5" s="1"/>
  <c r="L8" i="5"/>
  <c r="L10" i="5" s="1"/>
  <c r="K8" i="5"/>
  <c r="K10" i="5" s="1"/>
  <c r="J8" i="5"/>
  <c r="J10" i="5" s="1"/>
  <c r="I8" i="5"/>
  <c r="I10" i="5" s="1"/>
  <c r="H8" i="5"/>
  <c r="H10" i="5" s="1"/>
  <c r="G8" i="5"/>
  <c r="G10" i="5" s="1"/>
  <c r="F8" i="5"/>
  <c r="F9" i="5" s="1"/>
  <c r="E8" i="5"/>
  <c r="E9" i="5" s="1"/>
  <c r="D8" i="5"/>
  <c r="D10" i="5" s="1"/>
  <c r="C8" i="5"/>
  <c r="C10" i="5" s="1"/>
  <c r="D37" i="4"/>
  <c r="E37" i="4"/>
  <c r="F37" i="4"/>
  <c r="G37" i="4"/>
  <c r="H37" i="4"/>
  <c r="I37" i="4"/>
  <c r="J37" i="4"/>
  <c r="K37" i="4"/>
  <c r="L37" i="4"/>
  <c r="M37" i="4"/>
  <c r="C37" i="4"/>
  <c r="D36" i="4"/>
  <c r="E36" i="4"/>
  <c r="F36" i="4"/>
  <c r="G36" i="4"/>
  <c r="H36" i="4"/>
  <c r="I36" i="4"/>
  <c r="J36" i="4"/>
  <c r="K36" i="4"/>
  <c r="L36" i="4"/>
  <c r="M36" i="4"/>
  <c r="C36" i="4"/>
  <c r="D35" i="4"/>
  <c r="E35" i="4"/>
  <c r="F35" i="4"/>
  <c r="G35" i="4"/>
  <c r="H35" i="4"/>
  <c r="I35" i="4"/>
  <c r="J35" i="4"/>
  <c r="K35" i="4"/>
  <c r="L35" i="4"/>
  <c r="M35" i="4"/>
  <c r="C35" i="4"/>
  <c r="M34" i="4"/>
  <c r="L34" i="4"/>
  <c r="K34" i="4"/>
  <c r="J34" i="4"/>
  <c r="I34" i="4"/>
  <c r="H34" i="4"/>
  <c r="G34" i="4"/>
  <c r="F34" i="4"/>
  <c r="E34" i="4"/>
  <c r="D34" i="4"/>
  <c r="C34" i="4"/>
  <c r="M33" i="4"/>
  <c r="L33" i="4"/>
  <c r="K33" i="4"/>
  <c r="J33" i="4"/>
  <c r="I33" i="4"/>
  <c r="H33" i="4"/>
  <c r="G33" i="4"/>
  <c r="F33" i="4"/>
  <c r="E33" i="4"/>
  <c r="D33" i="4"/>
  <c r="C33" i="4"/>
  <c r="Y20" i="4"/>
  <c r="Z20" i="4"/>
  <c r="AA20" i="4"/>
  <c r="AB20" i="4"/>
  <c r="Y8" i="4"/>
  <c r="Y9" i="4" s="1"/>
  <c r="Z8" i="4"/>
  <c r="Z9" i="4" s="1"/>
  <c r="AA8" i="4"/>
  <c r="AA9" i="4" s="1"/>
  <c r="AB8" i="4"/>
  <c r="AB9" i="4" s="1"/>
  <c r="W20" i="4"/>
  <c r="X20" i="4"/>
  <c r="W8" i="4"/>
  <c r="W9" i="4" s="1"/>
  <c r="X8" i="4"/>
  <c r="X9" i="4" s="1"/>
  <c r="AC20" i="4"/>
  <c r="AD20" i="4"/>
  <c r="AE20" i="4"/>
  <c r="AF20" i="4"/>
  <c r="AC8" i="4"/>
  <c r="AC10" i="4" s="1"/>
  <c r="AD8" i="4"/>
  <c r="AD9" i="4" s="1"/>
  <c r="AE8" i="4"/>
  <c r="AE9" i="4" s="1"/>
  <c r="AF8" i="4"/>
  <c r="AF10" i="4" s="1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C20" i="4"/>
  <c r="D8" i="4"/>
  <c r="D9" i="4" s="1"/>
  <c r="E8" i="4"/>
  <c r="E10" i="4" s="1"/>
  <c r="F8" i="4"/>
  <c r="F10" i="4" s="1"/>
  <c r="G8" i="4"/>
  <c r="G10" i="4" s="1"/>
  <c r="H8" i="4"/>
  <c r="H9" i="4" s="1"/>
  <c r="I8" i="4"/>
  <c r="I9" i="4" s="1"/>
  <c r="J8" i="4"/>
  <c r="J9" i="4" s="1"/>
  <c r="K8" i="4"/>
  <c r="K10" i="4" s="1"/>
  <c r="L8" i="4"/>
  <c r="L10" i="4" s="1"/>
  <c r="M8" i="4"/>
  <c r="M10" i="4" s="1"/>
  <c r="N8" i="4"/>
  <c r="N9" i="4" s="1"/>
  <c r="O8" i="4"/>
  <c r="O10" i="4" s="1"/>
  <c r="P8" i="4"/>
  <c r="P9" i="4" s="1"/>
  <c r="Q8" i="4"/>
  <c r="Q10" i="4" s="1"/>
  <c r="R8" i="4"/>
  <c r="R10" i="4" s="1"/>
  <c r="S8" i="4"/>
  <c r="S10" i="4" s="1"/>
  <c r="T8" i="4"/>
  <c r="T9" i="4" s="1"/>
  <c r="U8" i="4"/>
  <c r="U9" i="4" s="1"/>
  <c r="V8" i="4"/>
  <c r="V9" i="4" s="1"/>
  <c r="C8" i="4"/>
  <c r="C9" i="4" s="1"/>
  <c r="H17" i="3"/>
  <c r="I17" i="3"/>
  <c r="J17" i="3"/>
  <c r="I10" i="3"/>
  <c r="J10" i="3"/>
  <c r="I11" i="3"/>
  <c r="J11" i="3"/>
  <c r="I7" i="3"/>
  <c r="I8" i="3" s="1"/>
  <c r="J7" i="3"/>
  <c r="J8" i="3" s="1"/>
  <c r="H11" i="3"/>
  <c r="H10" i="3"/>
  <c r="H7" i="3"/>
  <c r="H9" i="3" s="1"/>
  <c r="D11" i="3"/>
  <c r="E11" i="3"/>
  <c r="F11" i="3"/>
  <c r="G11" i="3"/>
  <c r="C11" i="3"/>
  <c r="C10" i="3"/>
  <c r="D10" i="3"/>
  <c r="E10" i="3"/>
  <c r="F10" i="3"/>
  <c r="G10" i="3"/>
  <c r="D7" i="3"/>
  <c r="D8" i="3" s="1"/>
  <c r="E7" i="3"/>
  <c r="E8" i="3" s="1"/>
  <c r="F7" i="3"/>
  <c r="F8" i="3" s="1"/>
  <c r="G7" i="3"/>
  <c r="G8" i="3" s="1"/>
  <c r="C7" i="3"/>
  <c r="C9" i="3" s="1"/>
  <c r="G17" i="3"/>
  <c r="F17" i="3"/>
  <c r="E17" i="3"/>
  <c r="D17" i="3"/>
  <c r="C17" i="3"/>
  <c r="R46" i="1"/>
  <c r="R42" i="1"/>
  <c r="R43" i="1" s="1"/>
  <c r="Q46" i="1"/>
  <c r="Q42" i="1"/>
  <c r="Q43" i="1" s="1"/>
  <c r="P46" i="1"/>
  <c r="O46" i="1"/>
  <c r="N46" i="1"/>
  <c r="M46" i="1"/>
  <c r="L46" i="1"/>
  <c r="O44" i="1"/>
  <c r="N44" i="1"/>
  <c r="M44" i="1"/>
  <c r="L44" i="1"/>
  <c r="O43" i="1"/>
  <c r="M43" i="1"/>
  <c r="P42" i="1"/>
  <c r="P44" i="1" s="1"/>
  <c r="O42" i="1"/>
  <c r="N42" i="1"/>
  <c r="N43" i="1" s="1"/>
  <c r="M42" i="1"/>
  <c r="L42" i="1"/>
  <c r="L43" i="1" s="1"/>
  <c r="P28" i="1"/>
  <c r="O28" i="1"/>
  <c r="N28" i="1"/>
  <c r="M28" i="1"/>
  <c r="L28" i="1"/>
  <c r="P24" i="1"/>
  <c r="P26" i="1" s="1"/>
  <c r="O24" i="1"/>
  <c r="O26" i="1" s="1"/>
  <c r="N24" i="1"/>
  <c r="N26" i="1" s="1"/>
  <c r="M24" i="1"/>
  <c r="M26" i="1" s="1"/>
  <c r="L24" i="1"/>
  <c r="L26" i="1" s="1"/>
  <c r="AH11" i="1"/>
  <c r="AG11" i="1"/>
  <c r="AF11" i="1"/>
  <c r="AE11" i="1"/>
  <c r="AD11" i="1"/>
  <c r="AH7" i="1"/>
  <c r="AH8" i="1" s="1"/>
  <c r="AG7" i="1"/>
  <c r="AG8" i="1" s="1"/>
  <c r="AF7" i="1"/>
  <c r="AF8" i="1" s="1"/>
  <c r="AE7" i="1"/>
  <c r="AE9" i="1" s="1"/>
  <c r="AD7" i="1"/>
  <c r="AD8" i="1" s="1"/>
  <c r="X11" i="1"/>
  <c r="W11" i="1"/>
  <c r="V11" i="1"/>
  <c r="U11" i="1"/>
  <c r="T11" i="1"/>
  <c r="L11" i="1"/>
  <c r="P11" i="1"/>
  <c r="O11" i="1"/>
  <c r="N11" i="1"/>
  <c r="M11" i="1"/>
  <c r="E11" i="1"/>
  <c r="F11" i="1"/>
  <c r="G11" i="1"/>
  <c r="H11" i="1"/>
  <c r="D11" i="1"/>
  <c r="X7" i="1"/>
  <c r="X8" i="1" s="1"/>
  <c r="W7" i="1"/>
  <c r="W8" i="1" s="1"/>
  <c r="V7" i="1"/>
  <c r="V8" i="1" s="1"/>
  <c r="U7" i="1"/>
  <c r="U8" i="1" s="1"/>
  <c r="T7" i="1"/>
  <c r="T8" i="1" s="1"/>
  <c r="P7" i="1"/>
  <c r="P8" i="1" s="1"/>
  <c r="O7" i="1"/>
  <c r="O8" i="1" s="1"/>
  <c r="N7" i="1"/>
  <c r="N8" i="1" s="1"/>
  <c r="M7" i="1"/>
  <c r="M8" i="1" s="1"/>
  <c r="L7" i="1"/>
  <c r="L8" i="1" s="1"/>
  <c r="D7" i="1"/>
  <c r="D9" i="1" s="1"/>
  <c r="E7" i="1"/>
  <c r="E9" i="1" s="1"/>
  <c r="F7" i="1"/>
  <c r="F8" i="1" s="1"/>
  <c r="H7" i="1"/>
  <c r="H9" i="1" s="1"/>
  <c r="G7" i="1"/>
  <c r="G8" i="1" s="1"/>
  <c r="H11" i="2"/>
  <c r="G11" i="2"/>
  <c r="F11" i="2"/>
  <c r="H7" i="2"/>
  <c r="G7" i="2"/>
  <c r="F7" i="2"/>
  <c r="H6" i="2"/>
  <c r="G6" i="2"/>
  <c r="F6" i="2"/>
  <c r="H5" i="2"/>
  <c r="G5" i="2"/>
  <c r="F5" i="2"/>
  <c r="AM9" i="5" l="1"/>
  <c r="AN9" i="5"/>
  <c r="AB9" i="5"/>
  <c r="AF10" i="5"/>
  <c r="AK9" i="5"/>
  <c r="AL9" i="5"/>
  <c r="AE9" i="5"/>
  <c r="AD9" i="5"/>
  <c r="AA9" i="5"/>
  <c r="AC10" i="5"/>
  <c r="Z9" i="5"/>
  <c r="Y9" i="5"/>
  <c r="AG35" i="4"/>
  <c r="AG37" i="4" s="1"/>
  <c r="AH35" i="4"/>
  <c r="AH37" i="4" s="1"/>
  <c r="X37" i="4"/>
  <c r="Y37" i="4"/>
  <c r="Z37" i="4"/>
  <c r="AA37" i="4"/>
  <c r="AB37" i="4"/>
  <c r="AC37" i="4"/>
  <c r="AD37" i="4"/>
  <c r="AE37" i="4"/>
  <c r="AF37" i="4"/>
  <c r="C9" i="5"/>
  <c r="D9" i="5"/>
  <c r="W9" i="5"/>
  <c r="X9" i="5"/>
  <c r="G9" i="5"/>
  <c r="AI9" i="5"/>
  <c r="H9" i="5"/>
  <c r="AJ9" i="5"/>
  <c r="K9" i="5"/>
  <c r="L9" i="5"/>
  <c r="O9" i="5"/>
  <c r="P9" i="5"/>
  <c r="S9" i="5"/>
  <c r="T9" i="5"/>
  <c r="I9" i="5"/>
  <c r="U9" i="5"/>
  <c r="N10" i="5"/>
  <c r="J9" i="5"/>
  <c r="V9" i="5"/>
  <c r="F10" i="5"/>
  <c r="R10" i="5"/>
  <c r="AH10" i="5"/>
  <c r="M9" i="5"/>
  <c r="Q10" i="5"/>
  <c r="E10" i="5"/>
  <c r="AG10" i="5"/>
  <c r="AB10" i="4"/>
  <c r="AA10" i="4"/>
  <c r="Z10" i="4"/>
  <c r="Y10" i="4"/>
  <c r="W10" i="4"/>
  <c r="X10" i="4"/>
  <c r="AD10" i="4"/>
  <c r="AE10" i="4"/>
  <c r="AF9" i="4"/>
  <c r="AC9" i="4"/>
  <c r="R9" i="4"/>
  <c r="M9" i="4"/>
  <c r="G9" i="4"/>
  <c r="F9" i="4"/>
  <c r="P10" i="4"/>
  <c r="N10" i="4"/>
  <c r="S9" i="4"/>
  <c r="I10" i="4"/>
  <c r="D10" i="4"/>
  <c r="U10" i="4"/>
  <c r="J10" i="4"/>
  <c r="Q9" i="4"/>
  <c r="E9" i="4"/>
  <c r="H10" i="4"/>
  <c r="O9" i="4"/>
  <c r="C10" i="4"/>
  <c r="L9" i="4"/>
  <c r="V10" i="4"/>
  <c r="T10" i="4"/>
  <c r="K9" i="4"/>
  <c r="J9" i="3"/>
  <c r="I9" i="3"/>
  <c r="H8" i="3"/>
  <c r="G9" i="3"/>
  <c r="F9" i="3"/>
  <c r="C8" i="3"/>
  <c r="D9" i="3"/>
  <c r="E9" i="3"/>
  <c r="Q44" i="1"/>
  <c r="R44" i="1"/>
  <c r="P43" i="1"/>
  <c r="L25" i="1"/>
  <c r="N25" i="1"/>
  <c r="O25" i="1"/>
  <c r="P25" i="1"/>
  <c r="M25" i="1"/>
  <c r="AG9" i="1"/>
  <c r="AH9" i="1"/>
  <c r="AE8" i="1"/>
  <c r="AD9" i="1"/>
  <c r="AF9" i="1"/>
  <c r="F9" i="1"/>
  <c r="L9" i="1"/>
  <c r="M9" i="1"/>
  <c r="N9" i="1"/>
  <c r="O9" i="1"/>
  <c r="P9" i="1"/>
  <c r="T9" i="1"/>
  <c r="U9" i="1"/>
  <c r="V9" i="1"/>
  <c r="W9" i="1"/>
  <c r="G9" i="1"/>
  <c r="X9" i="1"/>
  <c r="E8" i="1"/>
  <c r="D8" i="1"/>
  <c r="H8" i="1"/>
</calcChain>
</file>

<file path=xl/sharedStrings.xml><?xml version="1.0" encoding="utf-8"?>
<sst xmlns="http://schemas.openxmlformats.org/spreadsheetml/2006/main" count="436" uniqueCount="114">
  <si>
    <t>Thread Count</t>
  </si>
  <si>
    <t>Baseline</t>
  </si>
  <si>
    <t>ext_mem</t>
  </si>
  <si>
    <t>virtual_L2</t>
  </si>
  <si>
    <t>L1</t>
  </si>
  <si>
    <t>Total accesses</t>
  </si>
  <si>
    <t>Hit-Miss ratio</t>
  </si>
  <si>
    <t>SIMT_wo/CB</t>
  </si>
  <si>
    <t>SIMT_w/CB/vtp4.0</t>
  </si>
  <si>
    <t>Unique Frames</t>
  </si>
  <si>
    <t>Problem: Name = cq9, Group = Meszaros, Kind = linear programming problem</t>
  </si>
  <si>
    <t>Rows = 9278, Cols = 21534, NNZ = 96653 | Density (%) = 0.04837670243918924</t>
  </si>
  <si>
    <t>SIMT_w/CB_fov1</t>
  </si>
  <si>
    <t>SIMT_w/CB_fov2</t>
  </si>
  <si>
    <t>SIMT_w/CB_fov4</t>
  </si>
  <si>
    <t>Virtual L1</t>
  </si>
  <si>
    <t>Virtual_L2</t>
  </si>
  <si>
    <t>DRAM</t>
  </si>
  <si>
    <t>K</t>
  </si>
  <si>
    <t>M</t>
  </si>
  <si>
    <t>Density (%)</t>
  </si>
  <si>
    <t>FOV</t>
  </si>
  <si>
    <t>*(RUN AGAIN)</t>
  </si>
  <si>
    <t>Hit rate</t>
  </si>
  <si>
    <t>Miss rate</t>
  </si>
  <si>
    <t>Cache Efficiency</t>
  </si>
  <si>
    <t>Miss-Rate</t>
  </si>
  <si>
    <t>Cold-Miss</t>
  </si>
  <si>
    <t>High Hit-Rate; Low Efficiency; Conflict Miss</t>
  </si>
  <si>
    <t>High Hit-Rate; Moderate Efficiency; Capacity Miss</t>
  </si>
  <si>
    <t>Dominated by Conflict Miss (for Irregular patterns)</t>
  </si>
  <si>
    <t>Dominated by Capacity Miss</t>
  </si>
  <si>
    <t>Vassoc = 4; Vsets = 32 * FOV</t>
  </si>
  <si>
    <t>Vassoc = 2; Vsets = 64 * FOV</t>
  </si>
  <si>
    <t>Vassoc = 1; Vsets = 128 * FOV (Direct Mapped)</t>
  </si>
  <si>
    <t>SIMT_w/CB_fov0.25</t>
  </si>
  <si>
    <t>SIMT_w/CB_fov0.5</t>
  </si>
  <si>
    <t>*(RUN)</t>
  </si>
  <si>
    <t>Sim version in direct mapped reduces to MRU instead of LRU due to there being only one block per set</t>
  </si>
  <si>
    <t>CPU</t>
  </si>
  <si>
    <t>GPU</t>
  </si>
  <si>
    <t>CacheBandit_fov1</t>
  </si>
  <si>
    <t>Virtual L2</t>
  </si>
  <si>
    <t>CacheBandit_fov4</t>
  </si>
  <si>
    <t>CacheBandit_fov2</t>
  </si>
  <si>
    <t>Alloc-rate</t>
  </si>
  <si>
    <t>Dealloc-rate</t>
  </si>
  <si>
    <t>Page Utilization</t>
  </si>
  <si>
    <t>L2 Miss-Rate</t>
  </si>
  <si>
    <t>L1 Hit-rate</t>
  </si>
  <si>
    <t>L1 Miss-Rate</t>
  </si>
  <si>
    <t>L2 Hit-Rate</t>
  </si>
  <si>
    <t>CacheBandit_fov8</t>
  </si>
  <si>
    <t>CacheBandit_fov16</t>
  </si>
  <si>
    <t>CacheBandit_fov32</t>
  </si>
  <si>
    <t>Capacity Maxed out</t>
  </si>
  <si>
    <t>Page Size</t>
  </si>
  <si>
    <t>Conflicts Pruned</t>
  </si>
  <si>
    <t>CacheBandit</t>
  </si>
  <si>
    <t>bcsstk10</t>
  </si>
  <si>
    <t>bcsstk13</t>
  </si>
  <si>
    <t>bcsstk17</t>
  </si>
  <si>
    <t>c8_mat11</t>
  </si>
  <si>
    <t>cq9</t>
  </si>
  <si>
    <t>fv1</t>
  </si>
  <si>
    <t>kl02</t>
  </si>
  <si>
    <t>lhr34c</t>
  </si>
  <si>
    <t>SIMT</t>
  </si>
  <si>
    <t>pdb1HYS</t>
  </si>
  <si>
    <t>psmigr_1</t>
  </si>
  <si>
    <t>Framework</t>
  </si>
  <si>
    <t>Matrix Name</t>
  </si>
  <si>
    <t>Problem Kind</t>
  </si>
  <si>
    <t>Structural</t>
  </si>
  <si>
    <t>CFD</t>
  </si>
  <si>
    <t>Combinatorial</t>
  </si>
  <si>
    <t>Linear Programming</t>
  </si>
  <si>
    <t>2D/3D</t>
  </si>
  <si>
    <t>Chemical Process Simulation</t>
  </si>
  <si>
    <t>Weighted Undirected Graph</t>
  </si>
  <si>
    <t>Economic</t>
  </si>
  <si>
    <t>Avg Page Utilization</t>
  </si>
  <si>
    <t>Peak Page Utilization</t>
  </si>
  <si>
    <t>Random</t>
  </si>
  <si>
    <t>10000_100</t>
  </si>
  <si>
    <t>Mean-Line-TTL</t>
  </si>
  <si>
    <t>FOV (Vsets / Psets)</t>
  </si>
  <si>
    <t>10000_001</t>
  </si>
  <si>
    <t>Gain</t>
  </si>
  <si>
    <t>Good indicator of Thrashing, but poor reliability</t>
  </si>
  <si>
    <t>Comments</t>
  </si>
  <si>
    <t>Directed Graph</t>
  </si>
  <si>
    <t>wiki-Vote</t>
  </si>
  <si>
    <t>web-Google</t>
  </si>
  <si>
    <t>amazon0312</t>
  </si>
  <si>
    <t>Loss</t>
  </si>
  <si>
    <t>Gain (normalized)</t>
  </si>
  <si>
    <t>Loss (normalized)</t>
  </si>
  <si>
    <t>Performance</t>
  </si>
  <si>
    <t>Density</t>
  </si>
  <si>
    <t>as-735</t>
  </si>
  <si>
    <t>ca-HepTh</t>
  </si>
  <si>
    <t>p2p-Gnutella04</t>
  </si>
  <si>
    <t>Undirected Graph</t>
  </si>
  <si>
    <t>Undirected Graph Sequence</t>
  </si>
  <si>
    <t>X</t>
  </si>
  <si>
    <t>Dense</t>
  </si>
  <si>
    <t>KM_2000</t>
  </si>
  <si>
    <t>KM_3000</t>
  </si>
  <si>
    <t>KM_4000</t>
  </si>
  <si>
    <t>KM_5000</t>
  </si>
  <si>
    <t>Baseline Hit-Rate</t>
  </si>
  <si>
    <t>CacheBandit Hit-Rate</t>
  </si>
  <si>
    <t>DRAM Access Reduction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</si>
</sst>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64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D6D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Cache</a:t>
            </a:r>
            <a:r>
              <a:rPr lang="en-US" baseline="0"/>
              <a:t> Performance @ K = M = 10^4 ; Density = 1%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Sheet1!$C$4</c:f>
              <c:strCache>
                <c:ptCount val="1"/>
                <c:pt idx="0">
                  <c:v>DRAM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Sheet1!$D$4:$H$4</c:f>
              <c:numCache>
                <c:formatCode>General</c:formatCode>
                <c:ptCount val="5"/>
                <c:pt idx="0">
                  <c:v>826472</c:v>
                </c:pt>
                <c:pt idx="1">
                  <c:v>804148</c:v>
                </c:pt>
                <c:pt idx="2">
                  <c:v>1171</c:v>
                </c:pt>
                <c:pt idx="3">
                  <c:v>890</c:v>
                </c:pt>
                <c:pt idx="4">
                  <c:v>719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42-4F33-8DD0-BE0FA239671D}"/>
            </c:ext>
          </c:extLst>
        </c:ser>
        <c:ser>
          <c:idx val="1"/>
          <c:order val="1"/>
          <c:tx>
            <c:strRef>
              <c:f>Sheet1!$C$5</c:f>
              <c:strCache>
                <c:ptCount val="1"/>
                <c:pt idx="0">
                  <c:v>Virtual_L2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Sheet1!$D$5:$H$5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811818</c:v>
                </c:pt>
                <c:pt idx="3">
                  <c:v>811211</c:v>
                </c:pt>
                <c:pt idx="4">
                  <c:v>812022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42-4F33-8DD0-BE0FA239671D}"/>
            </c:ext>
          </c:extLst>
        </c:ser>
        <c:ser>
          <c:idx val="0"/>
          <c:order val="2"/>
          <c:tx>
            <c:strRef>
              <c:f>Sheet1!$C$6</c:f>
              <c:strCache>
                <c:ptCount val="1"/>
                <c:pt idx="0">
                  <c:v>Virtual L1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Sheet1!$D$6:$H$6</c:f>
              <c:numCache>
                <c:formatCode>General</c:formatCode>
                <c:ptCount val="5"/>
                <c:pt idx="0">
                  <c:v>173528</c:v>
                </c:pt>
                <c:pt idx="1">
                  <c:v>195852</c:v>
                </c:pt>
                <c:pt idx="2">
                  <c:v>187011</c:v>
                </c:pt>
                <c:pt idx="3">
                  <c:v>187899</c:v>
                </c:pt>
                <c:pt idx="4">
                  <c:v>187259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2-4F33-8DD0-BE0FA2396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44714384"/>
        <c:axId val="1944709584"/>
      </c:barChart>
      <c:lineChart>
        <c:grouping val="standard"/>
        <c:varyColors val="0"/>
        <c:ser>
          <c:idx val="3"/>
          <c:order val="3"/>
          <c:tx>
            <c:strRef>
              <c:f>Sheet1!$C$8</c:f>
              <c:strCache>
                <c:ptCount val="1"/>
                <c:pt idx="0">
                  <c:v>Hit rate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Sheet1!$D$8:$H$8</c:f>
              <c:numCache>
                <c:formatCode>General</c:formatCode>
                <c:ptCount val="5"/>
                <c:pt idx="0">
                  <c:v>0.17352799999999999</c:v>
                </c:pt>
                <c:pt idx="1">
                  <c:v>0.195852</c:v>
                </c:pt>
                <c:pt idx="2">
                  <c:v>0.99882899999999997</c:v>
                </c:pt>
                <c:pt idx="3">
                  <c:v>0.99911000000000005</c:v>
                </c:pt>
                <c:pt idx="4">
                  <c:v>0.99928099999999997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D2-4031-8902-AAAF11604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61104"/>
        <c:axId val="110464464"/>
      </c:lineChart>
      <c:catAx>
        <c:axId val="110461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64464"/>
        <c:crosses val="autoZero"/>
        <c:auto val="1"/>
        <c:lblAlgn val="ctr"/>
        <c:lblOffset val="100"/>
        <c:noMultiLvlLbl val="0"/>
      </c:catAx>
      <c:valAx>
        <c:axId val="11046446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Cache</a:t>
                </a:r>
                <a:r>
                  <a:rPr lang="en-US" baseline="0"/>
                  <a:t> Hit-Rate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61104"/>
        <c:crosses val="autoZero"/>
        <c:crossBetween val="between"/>
        <c:majorUnit val="0.1"/>
        <c:minorUnit val="5.000000000000001E-2"/>
      </c:valAx>
      <c:valAx>
        <c:axId val="1944709584"/>
        <c:scaling>
          <c:orientation val="minMax"/>
          <c:max val="10000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DRAM Access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4714384"/>
        <c:crosses val="max"/>
        <c:crossBetween val="between"/>
        <c:majorUnit val="100000"/>
        <c:minorUnit val="50000"/>
      </c:valAx>
      <c:catAx>
        <c:axId val="194471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447095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Cache</a:t>
            </a:r>
            <a:r>
              <a:rPr lang="en-US" baseline="0"/>
              <a:t> Performance @ K = M = 10^4 | Density (d) = 1, 10, 50%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3"/>
          <c:order val="1"/>
          <c:tx>
            <c:v>Hit-Rate_d01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Sheet1!$D$8:$H$8</c:f>
              <c:numCache>
                <c:formatCode>General</c:formatCode>
                <c:ptCount val="5"/>
                <c:pt idx="0">
                  <c:v>0.17352799999999999</c:v>
                </c:pt>
                <c:pt idx="1">
                  <c:v>0.195852</c:v>
                </c:pt>
                <c:pt idx="2">
                  <c:v>0.99882899999999997</c:v>
                </c:pt>
                <c:pt idx="3">
                  <c:v>0.99911000000000005</c:v>
                </c:pt>
                <c:pt idx="4">
                  <c:v>0.99928099999999997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5F6-4555-A12F-B111F3694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61104"/>
        <c:axId val="110464464"/>
      </c:lineChart>
      <c:lineChart>
        <c:grouping val="standard"/>
        <c:varyColors val="0"/>
        <c:ser>
          <c:idx val="2"/>
          <c:order val="0"/>
          <c:tx>
            <c:v>Miss-Rate_d01</c:v>
          </c:tx>
          <c:spPr>
            <a:ln w="317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squar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Sheet1!$D$9:$H$9</c:f>
              <c:numCache>
                <c:formatCode>General</c:formatCode>
                <c:ptCount val="5"/>
                <c:pt idx="0">
                  <c:v>0.82647199999999998</c:v>
                </c:pt>
                <c:pt idx="1">
                  <c:v>0.80414799999999997</c:v>
                </c:pt>
                <c:pt idx="2">
                  <c:v>1.1709999999999999E-3</c:v>
                </c:pt>
                <c:pt idx="3">
                  <c:v>8.8999999999999995E-4</c:v>
                </c:pt>
                <c:pt idx="4">
                  <c:v>7.1900000000000002E-4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F6-4555-A12F-B111F369448C}"/>
            </c:ext>
          </c:extLst>
        </c:ser>
        <c:ser>
          <c:idx val="0"/>
          <c:order val="2"/>
          <c:tx>
            <c:v>Miss-Rate_d10</c:v>
          </c:tx>
          <c:spPr>
            <a:ln w="31750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circle"/>
            <c:size val="8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Sheet1!$L$9:$P$9</c:f>
              <c:numCache>
                <c:formatCode>General</c:formatCode>
                <c:ptCount val="5"/>
                <c:pt idx="0">
                  <c:v>0.48305160000000003</c:v>
                </c:pt>
                <c:pt idx="1">
                  <c:v>0.48117759999999998</c:v>
                </c:pt>
                <c:pt idx="2">
                  <c:v>1.691E-3</c:v>
                </c:pt>
                <c:pt idx="3">
                  <c:v>1.2239999999999999E-4</c:v>
                </c:pt>
                <c:pt idx="4">
                  <c:v>7.4599999999999997E-5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5F6-4555-A12F-B111F369448C}"/>
            </c:ext>
          </c:extLst>
        </c:ser>
        <c:ser>
          <c:idx val="1"/>
          <c:order val="3"/>
          <c:tx>
            <c:v>Hit-Rate_d10</c:v>
          </c:tx>
          <c:spPr>
            <a:ln w="28575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alpha val="94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Sheet1!$L$8:$P$8</c:f>
              <c:numCache>
                <c:formatCode>General</c:formatCode>
                <c:ptCount val="5"/>
                <c:pt idx="0">
                  <c:v>0.51694839999999997</c:v>
                </c:pt>
                <c:pt idx="1">
                  <c:v>0.51882240000000002</c:v>
                </c:pt>
                <c:pt idx="2">
                  <c:v>0.998309</c:v>
                </c:pt>
                <c:pt idx="3">
                  <c:v>0.99987760000000003</c:v>
                </c:pt>
                <c:pt idx="4">
                  <c:v>0.99992539999999996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5F6-4555-A12F-B111F369448C}"/>
            </c:ext>
          </c:extLst>
        </c:ser>
        <c:ser>
          <c:idx val="4"/>
          <c:order val="4"/>
          <c:tx>
            <c:v>Miss-Rate_d50</c:v>
          </c:tx>
          <c:spPr>
            <a:ln w="31750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triangle"/>
            <c:size val="8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Sheet1!$T$9:$X$9</c:f>
              <c:numCache>
                <c:formatCode>General</c:formatCode>
                <c:ptCount val="5"/>
                <c:pt idx="0">
                  <c:v>0.11859876</c:v>
                </c:pt>
                <c:pt idx="1">
                  <c:v>0.13351466000000001</c:v>
                </c:pt>
                <c:pt idx="2">
                  <c:v>3.3119999999999997E-4</c:v>
                </c:pt>
                <c:pt idx="3">
                  <c:v>3.6699999999999998E-5</c:v>
                </c:pt>
                <c:pt idx="4">
                  <c:v>2.6259999999999999E-5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5F6-4555-A12F-B111F369448C}"/>
            </c:ext>
          </c:extLst>
        </c:ser>
        <c:ser>
          <c:idx val="5"/>
          <c:order val="5"/>
          <c:tx>
            <c:v>Hit-Rate_d50</c:v>
          </c:tx>
          <c:spPr>
            <a:ln w="28575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triangle"/>
            <c:size val="8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Sheet1!$T$8:$X$8</c:f>
              <c:numCache>
                <c:formatCode>General</c:formatCode>
                <c:ptCount val="5"/>
                <c:pt idx="0">
                  <c:v>0.88140123999999997</c:v>
                </c:pt>
                <c:pt idx="1">
                  <c:v>0.86648533999999999</c:v>
                </c:pt>
                <c:pt idx="2">
                  <c:v>0.99966880000000002</c:v>
                </c:pt>
                <c:pt idx="3">
                  <c:v>0.9999633</c:v>
                </c:pt>
                <c:pt idx="4">
                  <c:v>0.99997374000000006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5F6-4555-A12F-B111F3694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0153584"/>
        <c:axId val="1930154064"/>
      </c:lineChart>
      <c:catAx>
        <c:axId val="110461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64464"/>
        <c:crosses val="autoZero"/>
        <c:auto val="1"/>
        <c:lblAlgn val="ctr"/>
        <c:lblOffset val="100"/>
        <c:noMultiLvlLbl val="0"/>
      </c:catAx>
      <c:valAx>
        <c:axId val="11046446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Hit-Rate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61104"/>
        <c:crosses val="autoZero"/>
        <c:crossBetween val="between"/>
        <c:majorUnit val="0.1"/>
        <c:minorUnit val="5.000000000000001E-2"/>
      </c:valAx>
      <c:valAx>
        <c:axId val="1930154064"/>
        <c:scaling>
          <c:orientation val="minMax"/>
          <c:max val="1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Miss-Rate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153584"/>
        <c:crosses val="max"/>
        <c:crossBetween val="between"/>
        <c:minorUnit val="5.000000000000001E-2"/>
      </c:valAx>
      <c:catAx>
        <c:axId val="19301535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01540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Cache</a:t>
            </a:r>
            <a:r>
              <a:rPr lang="en-US" baseline="0"/>
              <a:t> Performance @ K = M = 10^4 | Density (d) = 1, 10, 50, 100%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v>Cache_eff_d01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Sheet1!$D$11:$H$11</c:f>
              <c:numCache>
                <c:formatCode>General</c:formatCode>
                <c:ptCount val="5"/>
                <c:pt idx="0">
                  <c:v>7.5622646623237089E-4</c:v>
                </c:pt>
                <c:pt idx="1">
                  <c:v>7.7722011371041155E-4</c:v>
                </c:pt>
                <c:pt idx="2">
                  <c:v>0.533731853116994</c:v>
                </c:pt>
                <c:pt idx="3">
                  <c:v>0.702247191011236</c:v>
                </c:pt>
                <c:pt idx="4">
                  <c:v>0.86926286509040329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E2-4AE7-B61B-BE9D835B6439}"/>
            </c:ext>
          </c:extLst>
        </c:ser>
        <c:ser>
          <c:idx val="3"/>
          <c:order val="1"/>
          <c:tx>
            <c:v>Cache_eff_d10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Sheet1!$L$11:$P$11</c:f>
              <c:numCache>
                <c:formatCode>General</c:formatCode>
                <c:ptCount val="5"/>
                <c:pt idx="0">
                  <c:v>1.2938576334288097E-4</c:v>
                </c:pt>
                <c:pt idx="1">
                  <c:v>1.2988967067461161E-4</c:v>
                </c:pt>
                <c:pt idx="2">
                  <c:v>0.36960378474275579</c:v>
                </c:pt>
                <c:pt idx="3">
                  <c:v>0.5106209150326797</c:v>
                </c:pt>
                <c:pt idx="4">
                  <c:v>0.83780160857908847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E2-4AE7-B61B-BE9D835B6439}"/>
            </c:ext>
          </c:extLst>
        </c:ser>
        <c:ser>
          <c:idx val="0"/>
          <c:order val="2"/>
          <c:tx>
            <c:v>Cache_eff_d50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Sheet1!$T$11:$X$11</c:f>
              <c:numCache>
                <c:formatCode>General</c:formatCode>
                <c:ptCount val="5"/>
                <c:pt idx="0">
                  <c:v>1.0539739201320486E-4</c:v>
                </c:pt>
                <c:pt idx="1">
                  <c:v>9.3622677839272483E-5</c:v>
                </c:pt>
                <c:pt idx="2">
                  <c:v>3.7741545893719808E-2</c:v>
                </c:pt>
                <c:pt idx="3">
                  <c:v>0.34059945504087191</c:v>
                </c:pt>
                <c:pt idx="4">
                  <c:v>0.47600913937547601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E2-4AE7-B61B-BE9D835B6439}"/>
            </c:ext>
          </c:extLst>
        </c:ser>
        <c:ser>
          <c:idx val="1"/>
          <c:order val="3"/>
          <c:tx>
            <c:v>Cache_eff_d100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Sheet1!$D$3:$H$3</c:f>
              <c:strCache>
                <c:ptCount val="5"/>
                <c:pt idx="0">
                  <c:v>Baseline</c:v>
                </c:pt>
                <c:pt idx="1">
                  <c:v>SIMT_wo/CB</c:v>
                </c:pt>
                <c:pt idx="2">
                  <c:v>SIMT_w/CB_fov1</c:v>
                </c:pt>
                <c:pt idx="3">
                  <c:v>SIMT_w/CB_fov2</c:v>
                </c:pt>
                <c:pt idx="4">
                  <c:v>SIMT_w/CB_fov4</c:v>
                </c:pt>
              </c:strCache>
            </c:strRef>
          </c:cat>
          <c:val>
            <c:numRef>
              <c:f>Sheet1!$AD$11:$AH$11</c:f>
              <c:numCache>
                <c:formatCode>General</c:formatCode>
                <c:ptCount val="5"/>
                <c:pt idx="0">
                  <c:v>1.0539572130470797E-4</c:v>
                </c:pt>
                <c:pt idx="1">
                  <c:v>8.431339220431631E-4</c:v>
                </c:pt>
                <c:pt idx="2">
                  <c:v>8.431339220431631E-4</c:v>
                </c:pt>
                <c:pt idx="3">
                  <c:v>8.9118426268404742E-4</c:v>
                </c:pt>
                <c:pt idx="4">
                  <c:v>1.0370982488803488E-3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2F-4150-B531-EC8A75C40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61104"/>
        <c:axId val="110464464"/>
      </c:lineChart>
      <c:catAx>
        <c:axId val="110461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64464"/>
        <c:crosses val="autoZero"/>
        <c:auto val="1"/>
        <c:lblAlgn val="ctr"/>
        <c:lblOffset val="100"/>
        <c:noMultiLvlLbl val="0"/>
      </c:catAx>
      <c:valAx>
        <c:axId val="11046446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Cache Efficiency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61104"/>
        <c:crosses val="autoZero"/>
        <c:crossBetween val="between"/>
        <c:majorUnit val="0.1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Cache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Sheet2!$A$5</c:f>
              <c:strCache>
                <c:ptCount val="1"/>
                <c:pt idx="0">
                  <c:v>ext_mem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E3-4161-BC18-688D36813F18}"/>
              </c:ext>
            </c:extLst>
          </c:dPt>
          <c:cat>
            <c:strRef>
              <c:f>Sheet2!$B$4:$D$4</c:f>
              <c:strCache>
                <c:ptCount val="3"/>
                <c:pt idx="0">
                  <c:v>Baseline</c:v>
                </c:pt>
                <c:pt idx="1">
                  <c:v>SIMT_wo/CB</c:v>
                </c:pt>
                <c:pt idx="2">
                  <c:v>SIMT_w/CB/vtp4.0</c:v>
                </c:pt>
              </c:strCache>
            </c:strRef>
          </c:cat>
          <c:val>
            <c:numRef>
              <c:f>Sheet2!$B$5:$D$5</c:f>
              <c:numCache>
                <c:formatCode>General</c:formatCode>
                <c:ptCount val="3"/>
                <c:pt idx="0">
                  <c:v>37706</c:v>
                </c:pt>
                <c:pt idx="1">
                  <c:v>39007</c:v>
                </c:pt>
                <c:pt idx="2">
                  <c:v>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3B-4AC1-A241-60E08A840BC5}"/>
            </c:ext>
          </c:extLst>
        </c:ser>
        <c:ser>
          <c:idx val="1"/>
          <c:order val="1"/>
          <c:tx>
            <c:strRef>
              <c:f>Sheet2!$A$11</c:f>
              <c:strCache>
                <c:ptCount val="1"/>
                <c:pt idx="0">
                  <c:v>Unique Frames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Sheet2!$B$4:$D$4</c:f>
              <c:strCache>
                <c:ptCount val="3"/>
                <c:pt idx="0">
                  <c:v>Baseline</c:v>
                </c:pt>
                <c:pt idx="1">
                  <c:v>SIMT_wo/CB</c:v>
                </c:pt>
                <c:pt idx="2">
                  <c:v>SIMT_w/CB/vtp4.0</c:v>
                </c:pt>
              </c:strCache>
            </c:strRef>
          </c:cat>
          <c:val>
            <c:numRef>
              <c:f>Sheet2!$B$11:$D$11</c:f>
              <c:numCache>
                <c:formatCode>General</c:formatCode>
                <c:ptCount val="3"/>
                <c:pt idx="0">
                  <c:v>1346</c:v>
                </c:pt>
                <c:pt idx="1">
                  <c:v>1346</c:v>
                </c:pt>
                <c:pt idx="2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3B-4AC1-A241-60E08A840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24160319"/>
        <c:axId val="215600911"/>
      </c:barChart>
      <c:lineChart>
        <c:grouping val="standard"/>
        <c:varyColors val="0"/>
        <c:ser>
          <c:idx val="2"/>
          <c:order val="2"/>
          <c:tx>
            <c:strRef>
              <c:f>Sheet2!$A$9</c:f>
              <c:strCache>
                <c:ptCount val="1"/>
                <c:pt idx="0">
                  <c:v>Hit-Miss ratio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5"/>
            <c:spPr>
              <a:solidFill>
                <a:schemeClr val="accent4"/>
              </a:solidFill>
              <a:ln w="9525">
                <a:solidFill>
                  <a:schemeClr val="accent4">
                    <a:alpha val="95000"/>
                  </a:schemeClr>
                </a:solidFill>
              </a:ln>
              <a:effectLst/>
            </c:spPr>
          </c:marker>
          <c:cat>
            <c:strRef>
              <c:f>Sheet2!$B$4:$D$4</c:f>
              <c:strCache>
                <c:ptCount val="3"/>
                <c:pt idx="0">
                  <c:v>Baseline</c:v>
                </c:pt>
                <c:pt idx="1">
                  <c:v>SIMT_wo/CB</c:v>
                </c:pt>
                <c:pt idx="2">
                  <c:v>SIMT_w/CB/vtp4.0</c:v>
                </c:pt>
              </c:strCache>
            </c:strRef>
          </c:cat>
          <c:val>
            <c:numRef>
              <c:f>Sheet2!$B$9:$D$9</c:f>
              <c:numCache>
                <c:formatCode>General</c:formatCode>
                <c:ptCount val="3"/>
                <c:pt idx="0">
                  <c:v>0.60988277653047496</c:v>
                </c:pt>
                <c:pt idx="1">
                  <c:v>0.59642225280125805</c:v>
                </c:pt>
                <c:pt idx="2">
                  <c:v>0.97966953948661695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3B-4AC1-A241-60E08A840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438895"/>
        <c:axId val="418425935"/>
      </c:lineChart>
      <c:catAx>
        <c:axId val="22416031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600911"/>
        <c:crosses val="autoZero"/>
        <c:auto val="1"/>
        <c:lblAlgn val="ctr"/>
        <c:lblOffset val="100"/>
        <c:noMultiLvlLbl val="0"/>
      </c:catAx>
      <c:valAx>
        <c:axId val="21560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External Access Requests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160319"/>
        <c:crosses val="autoZero"/>
        <c:crossBetween val="between"/>
      </c:valAx>
      <c:valAx>
        <c:axId val="418425935"/>
        <c:scaling>
          <c:orientation val="minMax"/>
          <c:max val="1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Page</a:t>
                </a:r>
                <a:r>
                  <a:rPr lang="en-US" baseline="0"/>
                  <a:t> Utilization (normalized)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438895"/>
        <c:crosses val="max"/>
        <c:crossBetween val="between"/>
        <c:majorUnit val="0.1"/>
        <c:minorUnit val="5.000000000000001E-2"/>
      </c:valAx>
      <c:catAx>
        <c:axId val="4184388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184259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Sheet4!$B$37</c:f>
              <c:strCache>
                <c:ptCount val="1"/>
                <c:pt idx="0">
                  <c:v>Performance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Sheet4!$C$32:$M$32</c:f>
              <c:strCache>
                <c:ptCount val="1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</c:strCache>
            </c:strRef>
          </c:cat>
          <c:val>
            <c:numRef>
              <c:f>Sheet4!$C$37:$M$37</c:f>
              <c:numCache>
                <c:formatCode>0.0</c:formatCode>
                <c:ptCount val="11"/>
                <c:pt idx="0">
                  <c:v>0</c:v>
                </c:pt>
                <c:pt idx="1">
                  <c:v>-1.2928571428571427</c:v>
                </c:pt>
                <c:pt idx="2">
                  <c:v>-1.8050847457627119</c:v>
                </c:pt>
                <c:pt idx="3">
                  <c:v>29.024982155603141</c:v>
                </c:pt>
                <c:pt idx="4">
                  <c:v>8.7303426176978061</c:v>
                </c:pt>
                <c:pt idx="5">
                  <c:v>-0.13311148086522473</c:v>
                </c:pt>
                <c:pt idx="6">
                  <c:v>0.42465155064924742</c:v>
                </c:pt>
                <c:pt idx="7">
                  <c:v>-1.7400962606441972E-2</c:v>
                </c:pt>
                <c:pt idx="8">
                  <c:v>0.46857825567502998</c:v>
                </c:pt>
                <c:pt idx="9">
                  <c:v>52.193499622071052</c:v>
                </c:pt>
                <c:pt idx="10">
                  <c:v>20.301801801801801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E3-431D-A0F2-7857FB1143F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736557599"/>
        <c:axId val="1736552799"/>
      </c:barChart>
      <c:catAx>
        <c:axId val="1736557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552799"/>
        <c:crosses val="autoZero"/>
        <c:auto val="0"/>
        <c:lblAlgn val="ctr"/>
        <c:lblOffset val="200"/>
        <c:noMultiLvlLbl val="0"/>
      </c:catAx>
      <c:valAx>
        <c:axId val="1736552799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Relative Performance Gain / 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557599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Sheet5!$B$27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Sheet5!$C$24:$U$24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Sheet5!$C$27:$U$27</c:f>
              <c:numCache>
                <c:formatCode>General</c:formatCode>
                <c:ptCount val="19"/>
                <c:pt idx="0">
                  <c:v>0</c:v>
                </c:pt>
                <c:pt idx="1">
                  <c:v>9.3525179856115113</c:v>
                </c:pt>
                <c:pt idx="2">
                  <c:v>-5.3935860058309038</c:v>
                </c:pt>
                <c:pt idx="3">
                  <c:v>19.656380897514371</c:v>
                </c:pt>
                <c:pt idx="4">
                  <c:v>11.82524735404122</c:v>
                </c:pt>
                <c:pt idx="5">
                  <c:v>0</c:v>
                </c:pt>
                <c:pt idx="6">
                  <c:v>0.63412915639142575</c:v>
                </c:pt>
                <c:pt idx="7">
                  <c:v>-0.18573551263001484</c:v>
                </c:pt>
                <c:pt idx="8">
                  <c:v>-9.433962264150944</c:v>
                </c:pt>
                <c:pt idx="9">
                  <c:v>13.120372428152013</c:v>
                </c:pt>
                <c:pt idx="10">
                  <c:v>-1.6145379121785657</c:v>
                </c:pt>
                <c:pt idx="11">
                  <c:v>-2.8484910695955659</c:v>
                </c:pt>
                <c:pt idx="12">
                  <c:v>-0.74905396298792182</c:v>
                </c:pt>
                <c:pt idx="13">
                  <c:v>-8.3758556316116994</c:v>
                </c:pt>
                <c:pt idx="14">
                  <c:v>-0.51883259049975372</c:v>
                </c:pt>
                <c:pt idx="15">
                  <c:v>0</c:v>
                </c:pt>
                <c:pt idx="16">
                  <c:v>28.60868794326241</c:v>
                </c:pt>
                <c:pt idx="17">
                  <c:v>11.378499999999999</c:v>
                </c:pt>
                <c:pt idx="18">
                  <c:v>10.193482428115017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0-4469-A9A7-93D3AEF2F47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83783295"/>
        <c:axId val="383790975"/>
      </c:barChart>
      <c:catAx>
        <c:axId val="383783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790975"/>
        <c:crosses val="autoZero"/>
        <c:auto val="1"/>
        <c:lblAlgn val="ctr"/>
        <c:lblOffset val="100"/>
        <c:noMultiLvlLbl val="0"/>
      </c:catAx>
      <c:valAx>
        <c:axId val="38379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Reduction</a:t>
                </a:r>
                <a:r>
                  <a:rPr lang="en-US" baseline="0"/>
                  <a:t> (%)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783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Cache</a:t>
            </a:r>
            <a:r>
              <a:rPr lang="en-US" baseline="0"/>
              <a:t> Hit-Rate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Sheet5!$B$25</c:f>
              <c:strCache>
                <c:ptCount val="1"/>
                <c:pt idx="0">
                  <c:v>Baseline Hit-Rate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Sheet5!$C$24:$U$24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Sheet5!$C$25:$U$25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99.834293003349899</c:v>
                </c:pt>
                <c:pt idx="2">
                  <c:v>99.839962673509859</c:v>
                </c:pt>
                <c:pt idx="3">
                  <c:v>93.234265947210076</c:v>
                </c:pt>
                <c:pt idx="4">
                  <c:v>60.995520056283816</c:v>
                </c:pt>
                <c:pt idx="5">
                  <c:v>99.295130418465007</c:v>
                </c:pt>
                <c:pt idx="6">
                  <c:v>82.637764896299927</c:v>
                </c:pt>
                <c:pt idx="7">
                  <c:v>99.647650435724998</c:v>
                </c:pt>
                <c:pt idx="8">
                  <c:v>99.858496374372379</c:v>
                </c:pt>
                <c:pt idx="9">
                  <c:v>84.260070697400408</c:v>
                </c:pt>
                <c:pt idx="10">
                  <c:v>59.08244847573031</c:v>
                </c:pt>
                <c:pt idx="11">
                  <c:v>51.282692403860572</c:v>
                </c:pt>
                <c:pt idx="12">
                  <c:v>25.762444440168558</c:v>
                </c:pt>
                <c:pt idx="13">
                  <c:v>69.641440284127412</c:v>
                </c:pt>
                <c:pt idx="14">
                  <c:v>52.490001374810966</c:v>
                </c:pt>
                <c:pt idx="15">
                  <c:v>99.996875000000003</c:v>
                </c:pt>
                <c:pt idx="16">
                  <c:v>93.733333333333334</c:v>
                </c:pt>
                <c:pt idx="17">
                  <c:v>93.75</c:v>
                </c:pt>
                <c:pt idx="18">
                  <c:v>93.74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59-4BCE-84D6-DDE5CCD10239}"/>
            </c:ext>
          </c:extLst>
        </c:ser>
        <c:ser>
          <c:idx val="1"/>
          <c:order val="1"/>
          <c:tx>
            <c:strRef>
              <c:f>Sheet5!$B$26</c:f>
              <c:strCache>
                <c:ptCount val="1"/>
                <c:pt idx="0">
                  <c:v>CacheBandit Hit-Rate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Sheet5!$C$24:$U$24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Sheet5!$C$26:$U$26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99.849790780015027</c:v>
                </c:pt>
                <c:pt idx="2">
                  <c:v>99.831330922664179</c:v>
                </c:pt>
                <c:pt idx="3">
                  <c:v>94.564164403139301</c:v>
                </c:pt>
                <c:pt idx="4">
                  <c:v>65.607896288785668</c:v>
                </c:pt>
                <c:pt idx="5">
                  <c:v>99.295130418465007</c:v>
                </c:pt>
                <c:pt idx="6">
                  <c:v>82.747863891293704</c:v>
                </c:pt>
                <c:pt idx="7">
                  <c:v>99.646995997455548</c:v>
                </c:pt>
                <c:pt idx="8">
                  <c:v>99.845146975728255</c:v>
                </c:pt>
                <c:pt idx="9">
                  <c:v>86.325208041829299</c:v>
                </c:pt>
                <c:pt idx="10">
                  <c:v>58.421819093635776</c:v>
                </c:pt>
                <c:pt idx="11">
                  <c:v>49.894984247637147</c:v>
                </c:pt>
                <c:pt idx="12">
                  <c:v>25.206365088222277</c:v>
                </c:pt>
                <c:pt idx="13">
                  <c:v>67.098651150489289</c:v>
                </c:pt>
                <c:pt idx="14">
                  <c:v>52.243504018197498</c:v>
                </c:pt>
                <c:pt idx="15">
                  <c:v>99.996875000000003</c:v>
                </c:pt>
                <c:pt idx="16">
                  <c:v>95.526144444444455</c:v>
                </c:pt>
                <c:pt idx="17">
                  <c:v>94.461156250000002</c:v>
                </c:pt>
                <c:pt idx="18">
                  <c:v>94.378112000000002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59-4BCE-84D6-DDE5CCD1023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83804895"/>
        <c:axId val="383797695"/>
      </c:lineChart>
      <c:catAx>
        <c:axId val="383804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797695"/>
        <c:crosses val="autoZero"/>
        <c:auto val="1"/>
        <c:lblAlgn val="ctr"/>
        <c:lblOffset val="100"/>
        <c:noMultiLvlLbl val="0"/>
      </c:catAx>
      <c:valAx>
        <c:axId val="383797695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Hit-Rate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80489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174006</xdr:colOff>
      <xdr:row>18</xdr:row>
      <xdr:rowOff>88461</xdr:rowOff>
    </xdr:from>
    <xdr:to>
      <xdr:col>7</xdr:col>
      <xdr:colOff>1259732</xdr:colOff>
      <xdr:row>43</xdr:row>
      <xdr:rowOff>99330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7B48EF-EB3C-4959-D5F7-A0C6E8D35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162560</xdr:colOff>
      <xdr:row>47</xdr:row>
      <xdr:rowOff>101600</xdr:rowOff>
    </xdr:from>
    <xdr:to>
      <xdr:col>7</xdr:col>
      <xdr:colOff>1248286</xdr:colOff>
      <xdr:row>72</xdr:row>
      <xdr:rowOff>112469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75330C-9721-4528-AE43-931258DF2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571835</xdr:colOff>
      <xdr:row>21</xdr:row>
      <xdr:rowOff>77565</xdr:rowOff>
    </xdr:from>
    <xdr:to>
      <xdr:col>29</xdr:col>
      <xdr:colOff>902864</xdr:colOff>
      <xdr:row>46</xdr:row>
      <xdr:rowOff>88434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BBCF483-ECE0-45E1-B959-CF9663DDCD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289560</xdr:colOff>
      <xdr:row>4</xdr:row>
      <xdr:rowOff>102869</xdr:rowOff>
    </xdr:from>
    <xdr:to>
      <xdr:col>20</xdr:col>
      <xdr:colOff>257735</xdr:colOff>
      <xdr:row>26</xdr:row>
      <xdr:rowOff>179293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188302-18E9-CC7A-96D8-F120A3E5F7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90411</xdr:colOff>
      <xdr:row>40</xdr:row>
      <xdr:rowOff>161991</xdr:rowOff>
    </xdr:from>
    <xdr:to>
      <xdr:col>16</xdr:col>
      <xdr:colOff>297476</xdr:colOff>
      <xdr:row>65</xdr:row>
      <xdr:rowOff>48735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29BB8B-4A86-CEB1-2B37-A02EF900B2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421106</xdr:colOff>
      <xdr:row>29</xdr:row>
      <xdr:rowOff>102267</xdr:rowOff>
    </xdr:from>
    <xdr:to>
      <xdr:col>17</xdr:col>
      <xdr:colOff>431132</xdr:colOff>
      <xdr:row>56</xdr:row>
      <xdr:rowOff>60157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2F67CB-EB6F-135D-0E74-5B61ED59E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91665</xdr:colOff>
      <xdr:row>29</xdr:row>
      <xdr:rowOff>83522</xdr:rowOff>
    </xdr:from>
    <xdr:to>
      <xdr:col>28</xdr:col>
      <xdr:colOff>673950</xdr:colOff>
      <xdr:row>56</xdr:row>
      <xdr:rowOff>41893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887A11-13BA-F866-9330-CE73B887D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00447-2184-4F1A-95D3-8AEA75D54158}">
  <dimension ref="B2:AH53"/>
  <sheetViews>
    <sheetView zoomScale="41" zoomScaleNormal="95" workbookViewId="0">
      <selection activeCell="L53" sqref="L53"/>
    </sheetView>
  </sheetViews>
  <sheetFormatPr defaultRowHeight="14.4" x14ac:dyDescent="0.3"/>
  <cols>
    <col min="2" max="2" width="13" customWidth="1"/>
    <col min="3" max="3" width="20.5546875" customWidth="1"/>
    <col min="4" max="4" width="10.5546875" customWidth="1"/>
    <col min="5" max="5" width="20.21875" customWidth="1"/>
    <col min="6" max="8" width="19.44140625" customWidth="1"/>
    <col min="11" max="11" width="18.77734375" customWidth="1"/>
    <col min="12" max="12" width="13" customWidth="1"/>
    <col min="13" max="13" width="15" customWidth="1"/>
    <col min="14" max="14" width="16.109375" customWidth="1"/>
    <col min="15" max="15" width="15.33203125" customWidth="1"/>
    <col min="16" max="16" width="15.77734375" customWidth="1"/>
    <col min="17" max="17" width="17.21875" customWidth="1"/>
    <col min="18" max="18" width="17.33203125" customWidth="1"/>
    <col min="19" max="19" width="19.44140625" customWidth="1"/>
    <col min="20" max="20" width="12.44140625" customWidth="1"/>
    <col min="21" max="21" width="14" customWidth="1"/>
    <col min="22" max="22" width="16.6640625" customWidth="1"/>
    <col min="23" max="23" width="16.44140625" customWidth="1"/>
    <col min="24" max="24" width="15.77734375" customWidth="1"/>
    <col min="29" max="29" width="15.6640625" customWidth="1"/>
    <col min="30" max="30" width="13.33203125" customWidth="1"/>
    <col min="31" max="31" width="13.44140625" customWidth="1"/>
    <col min="32" max="32" width="16.5546875" customWidth="1"/>
    <col min="33" max="33" width="16.109375" customWidth="1"/>
    <col min="34" max="34" width="17" customWidth="1"/>
  </cols>
  <sheetData>
    <row r="2" spans="2:34" x14ac:dyDescent="0.3">
      <c r="C2" t="s">
        <v>32</v>
      </c>
      <c r="G2" t="s">
        <v>22</v>
      </c>
      <c r="H2" t="s">
        <v>22</v>
      </c>
      <c r="L2" t="s">
        <v>22</v>
      </c>
      <c r="M2" t="s">
        <v>22</v>
      </c>
      <c r="N2" t="s">
        <v>22</v>
      </c>
      <c r="O2" t="s">
        <v>22</v>
      </c>
      <c r="P2" t="s">
        <v>22</v>
      </c>
      <c r="T2" t="s">
        <v>22</v>
      </c>
      <c r="U2" t="s">
        <v>22</v>
      </c>
      <c r="V2" t="s">
        <v>22</v>
      </c>
      <c r="W2" t="s">
        <v>22</v>
      </c>
      <c r="X2" t="s">
        <v>22</v>
      </c>
    </row>
    <row r="3" spans="2:34" x14ac:dyDescent="0.3">
      <c r="B3" s="1"/>
      <c r="C3" s="1"/>
      <c r="D3" t="s">
        <v>1</v>
      </c>
      <c r="E3" t="s">
        <v>7</v>
      </c>
      <c r="F3" t="s">
        <v>12</v>
      </c>
      <c r="G3" t="s">
        <v>13</v>
      </c>
      <c r="H3" t="s">
        <v>14</v>
      </c>
      <c r="K3" s="1"/>
      <c r="L3" t="s">
        <v>1</v>
      </c>
      <c r="M3" t="s">
        <v>7</v>
      </c>
      <c r="N3" t="s">
        <v>12</v>
      </c>
      <c r="O3" t="s">
        <v>13</v>
      </c>
      <c r="P3" t="s">
        <v>14</v>
      </c>
      <c r="S3" s="1"/>
      <c r="T3" t="s">
        <v>1</v>
      </c>
      <c r="U3" t="s">
        <v>7</v>
      </c>
      <c r="V3" t="s">
        <v>12</v>
      </c>
      <c r="W3" t="s">
        <v>13</v>
      </c>
      <c r="X3" t="s">
        <v>14</v>
      </c>
      <c r="AC3" s="1"/>
      <c r="AD3" t="s">
        <v>1</v>
      </c>
      <c r="AE3" t="s">
        <v>7</v>
      </c>
      <c r="AF3" t="s">
        <v>12</v>
      </c>
      <c r="AG3" t="s">
        <v>13</v>
      </c>
      <c r="AH3" t="s">
        <v>14</v>
      </c>
    </row>
    <row r="4" spans="2:34" x14ac:dyDescent="0.3">
      <c r="C4" t="s">
        <v>17</v>
      </c>
      <c r="D4">
        <v>826472</v>
      </c>
      <c r="E4">
        <v>804148</v>
      </c>
      <c r="F4">
        <v>1171</v>
      </c>
      <c r="G4">
        <v>890</v>
      </c>
      <c r="H4">
        <v>719</v>
      </c>
      <c r="K4" t="s">
        <v>17</v>
      </c>
      <c r="L4">
        <v>4830516</v>
      </c>
      <c r="M4">
        <v>4811776</v>
      </c>
      <c r="N4">
        <v>1691</v>
      </c>
      <c r="O4">
        <v>1224</v>
      </c>
      <c r="P4">
        <v>746</v>
      </c>
      <c r="S4" t="s">
        <v>17</v>
      </c>
      <c r="T4">
        <v>5929938</v>
      </c>
      <c r="U4">
        <v>6675733</v>
      </c>
      <c r="V4">
        <v>16560</v>
      </c>
      <c r="W4">
        <v>1835</v>
      </c>
      <c r="X4">
        <v>1313</v>
      </c>
      <c r="AC4" t="s">
        <v>17</v>
      </c>
      <c r="AD4">
        <v>5930032</v>
      </c>
      <c r="AE4">
        <v>741282</v>
      </c>
      <c r="AF4">
        <v>741282</v>
      </c>
      <c r="AG4">
        <v>701314</v>
      </c>
      <c r="AH4">
        <v>602643</v>
      </c>
    </row>
    <row r="5" spans="2:34" x14ac:dyDescent="0.3">
      <c r="C5" t="s">
        <v>16</v>
      </c>
      <c r="D5">
        <v>0</v>
      </c>
      <c r="E5">
        <v>0</v>
      </c>
      <c r="F5">
        <v>811818</v>
      </c>
      <c r="G5">
        <v>811211</v>
      </c>
      <c r="H5">
        <v>812022</v>
      </c>
      <c r="K5" t="s">
        <v>16</v>
      </c>
      <c r="L5">
        <v>0</v>
      </c>
      <c r="M5">
        <v>0</v>
      </c>
      <c r="N5">
        <v>811050</v>
      </c>
      <c r="O5">
        <v>4455025</v>
      </c>
      <c r="P5">
        <v>4453586</v>
      </c>
      <c r="S5" t="s">
        <v>16</v>
      </c>
      <c r="T5">
        <v>0</v>
      </c>
      <c r="U5">
        <v>0</v>
      </c>
      <c r="V5">
        <v>5467749</v>
      </c>
      <c r="W5">
        <v>5468660</v>
      </c>
      <c r="X5">
        <v>5468667</v>
      </c>
      <c r="AC5" t="s">
        <v>16</v>
      </c>
      <c r="AD5">
        <v>0</v>
      </c>
      <c r="AE5">
        <v>0</v>
      </c>
      <c r="AF5">
        <v>5468750</v>
      </c>
      <c r="AG5">
        <v>5468750</v>
      </c>
      <c r="AH5">
        <v>5468750</v>
      </c>
    </row>
    <row r="6" spans="2:34" x14ac:dyDescent="0.3">
      <c r="C6" t="s">
        <v>15</v>
      </c>
      <c r="D6">
        <v>173528</v>
      </c>
      <c r="E6">
        <v>195852</v>
      </c>
      <c r="F6">
        <v>187011</v>
      </c>
      <c r="G6">
        <v>187899</v>
      </c>
      <c r="H6">
        <v>187259</v>
      </c>
      <c r="K6" t="s">
        <v>15</v>
      </c>
      <c r="L6">
        <v>5169484</v>
      </c>
      <c r="M6">
        <v>5188224</v>
      </c>
      <c r="N6">
        <v>187259</v>
      </c>
      <c r="O6">
        <v>5543751</v>
      </c>
      <c r="P6">
        <v>5545668</v>
      </c>
      <c r="S6" t="s">
        <v>15</v>
      </c>
      <c r="T6">
        <v>44070062</v>
      </c>
      <c r="U6">
        <v>43324267</v>
      </c>
      <c r="V6">
        <v>44515691</v>
      </c>
      <c r="W6">
        <v>44529505</v>
      </c>
      <c r="X6">
        <v>44530020</v>
      </c>
      <c r="AC6" t="s">
        <v>15</v>
      </c>
      <c r="AD6">
        <v>94069968</v>
      </c>
      <c r="AE6">
        <v>99258718</v>
      </c>
      <c r="AF6">
        <v>93789968</v>
      </c>
      <c r="AG6">
        <v>93829936</v>
      </c>
      <c r="AH6">
        <v>93928607</v>
      </c>
    </row>
    <row r="7" spans="2:34" x14ac:dyDescent="0.3">
      <c r="C7" t="s">
        <v>5</v>
      </c>
      <c r="D7">
        <f>D4+D5+D6</f>
        <v>1000000</v>
      </c>
      <c r="E7">
        <f>E4+E5+E6</f>
        <v>1000000</v>
      </c>
      <c r="F7">
        <f>F4+F5+F6</f>
        <v>1000000</v>
      </c>
      <c r="G7">
        <f>G4+G5+G6</f>
        <v>1000000</v>
      </c>
      <c r="H7">
        <f>H4+H5+H6</f>
        <v>1000000</v>
      </c>
      <c r="K7" t="s">
        <v>5</v>
      </c>
      <c r="L7">
        <f>L4+L5+L6</f>
        <v>10000000</v>
      </c>
      <c r="M7">
        <f>M4+M5+M6</f>
        <v>10000000</v>
      </c>
      <c r="N7">
        <f>N4+N5+N6</f>
        <v>1000000</v>
      </c>
      <c r="O7">
        <f>O4+O5+O6</f>
        <v>10000000</v>
      </c>
      <c r="P7">
        <f>P4+P5+P6</f>
        <v>10000000</v>
      </c>
      <c r="S7" t="s">
        <v>5</v>
      </c>
      <c r="T7">
        <f>T4+T5+T6</f>
        <v>50000000</v>
      </c>
      <c r="U7">
        <f>U4+U5+U6</f>
        <v>50000000</v>
      </c>
      <c r="V7">
        <f>V4+V5+V6</f>
        <v>50000000</v>
      </c>
      <c r="W7">
        <f>W4+W5+W6</f>
        <v>50000000</v>
      </c>
      <c r="X7">
        <f>X4+X5+X6</f>
        <v>50000000</v>
      </c>
      <c r="AC7" t="s">
        <v>5</v>
      </c>
      <c r="AD7">
        <f>AD4+AD5+AD6</f>
        <v>100000000</v>
      </c>
      <c r="AE7">
        <f>AE4+AE5+AE6</f>
        <v>100000000</v>
      </c>
      <c r="AF7">
        <f>AF4+AF5+AF6</f>
        <v>100000000</v>
      </c>
      <c r="AG7">
        <f>AG4+AG5+AG6</f>
        <v>100000000</v>
      </c>
      <c r="AH7">
        <f>AH4+AH5+AH6</f>
        <v>100000000</v>
      </c>
    </row>
    <row r="8" spans="2:34" x14ac:dyDescent="0.3">
      <c r="C8" t="s">
        <v>23</v>
      </c>
      <c r="D8">
        <f>(D6+D5)/D7</f>
        <v>0.17352799999999999</v>
      </c>
      <c r="E8">
        <f>(E6+E5)/E7</f>
        <v>0.195852</v>
      </c>
      <c r="F8">
        <f>(F6+F5)/F7</f>
        <v>0.99882899999999997</v>
      </c>
      <c r="G8">
        <f>(G6+G5)/G7</f>
        <v>0.99911000000000005</v>
      </c>
      <c r="H8">
        <f>(H6+H5)/H7</f>
        <v>0.99928099999999997</v>
      </c>
      <c r="K8" t="s">
        <v>23</v>
      </c>
      <c r="L8">
        <f>(L6+L5)/L7</f>
        <v>0.51694839999999997</v>
      </c>
      <c r="M8">
        <f>(M6+M5)/M7</f>
        <v>0.51882240000000002</v>
      </c>
      <c r="N8">
        <f>(N6+N5)/N7</f>
        <v>0.998309</v>
      </c>
      <c r="O8">
        <f>(O6+O5)/O7</f>
        <v>0.99987760000000003</v>
      </c>
      <c r="P8">
        <f>(P6+P5)/P7</f>
        <v>0.99992539999999996</v>
      </c>
      <c r="S8" t="s">
        <v>23</v>
      </c>
      <c r="T8">
        <f>(T6+T5)/T7</f>
        <v>0.88140123999999997</v>
      </c>
      <c r="U8">
        <f>(U6+U5)/U7</f>
        <v>0.86648533999999999</v>
      </c>
      <c r="V8">
        <f>(V6+V5)/V7</f>
        <v>0.99966880000000002</v>
      </c>
      <c r="W8">
        <f>(W6+W5)/W7</f>
        <v>0.9999633</v>
      </c>
      <c r="X8">
        <f>(X6+X5)/X7</f>
        <v>0.99997374000000006</v>
      </c>
      <c r="AC8" t="s">
        <v>23</v>
      </c>
      <c r="AD8">
        <f>(AD6+AD5)/AD7</f>
        <v>0.94069968000000004</v>
      </c>
      <c r="AE8">
        <f>(AE6+AE5)/AE7</f>
        <v>0.99258718000000001</v>
      </c>
      <c r="AF8">
        <f>(AF6+AF5)/AF7</f>
        <v>0.99258718000000001</v>
      </c>
      <c r="AG8">
        <f>(AG6+AG5)/AG7</f>
        <v>0.99298686000000003</v>
      </c>
      <c r="AH8">
        <f>(AH6+AH5)/AH7</f>
        <v>0.99397356999999997</v>
      </c>
    </row>
    <row r="9" spans="2:34" x14ac:dyDescent="0.3">
      <c r="C9" t="s">
        <v>26</v>
      </c>
      <c r="D9">
        <f>D4/D7</f>
        <v>0.82647199999999998</v>
      </c>
      <c r="E9">
        <f t="shared" ref="E9:H9" si="0">E4/E7</f>
        <v>0.80414799999999997</v>
      </c>
      <c r="F9">
        <f t="shared" si="0"/>
        <v>1.1709999999999999E-3</v>
      </c>
      <c r="G9">
        <f t="shared" si="0"/>
        <v>8.8999999999999995E-4</v>
      </c>
      <c r="H9">
        <f t="shared" si="0"/>
        <v>7.1900000000000002E-4</v>
      </c>
      <c r="K9" t="s">
        <v>24</v>
      </c>
      <c r="L9">
        <f>L4/L7</f>
        <v>0.48305160000000003</v>
      </c>
      <c r="M9">
        <f t="shared" ref="M9:P9" si="1">M4/M7</f>
        <v>0.48117759999999998</v>
      </c>
      <c r="N9">
        <f t="shared" si="1"/>
        <v>1.691E-3</v>
      </c>
      <c r="O9">
        <f t="shared" si="1"/>
        <v>1.2239999999999999E-4</v>
      </c>
      <c r="P9">
        <f t="shared" si="1"/>
        <v>7.4599999999999997E-5</v>
      </c>
      <c r="S9" t="s">
        <v>24</v>
      </c>
      <c r="T9">
        <f>T4/T7</f>
        <v>0.11859876</v>
      </c>
      <c r="U9">
        <f t="shared" ref="U9:X9" si="2">U4/U7</f>
        <v>0.13351466000000001</v>
      </c>
      <c r="V9">
        <f t="shared" si="2"/>
        <v>3.3119999999999997E-4</v>
      </c>
      <c r="W9">
        <f t="shared" si="2"/>
        <v>3.6699999999999998E-5</v>
      </c>
      <c r="X9">
        <f t="shared" si="2"/>
        <v>2.6259999999999999E-5</v>
      </c>
      <c r="AC9" t="s">
        <v>24</v>
      </c>
      <c r="AD9">
        <f>AD4/AD7</f>
        <v>5.9300319999999997E-2</v>
      </c>
      <c r="AE9">
        <f t="shared" ref="AE9:AH9" si="3">AE4/AE7</f>
        <v>7.4128199999999997E-3</v>
      </c>
      <c r="AF9">
        <f t="shared" si="3"/>
        <v>7.4128199999999997E-3</v>
      </c>
      <c r="AG9">
        <f t="shared" si="3"/>
        <v>7.0131400000000002E-3</v>
      </c>
      <c r="AH9">
        <f t="shared" si="3"/>
        <v>6.0264300000000002E-3</v>
      </c>
    </row>
    <row r="10" spans="2:34" x14ac:dyDescent="0.3">
      <c r="C10" t="s">
        <v>27</v>
      </c>
      <c r="D10">
        <v>625</v>
      </c>
      <c r="E10">
        <v>625</v>
      </c>
      <c r="F10">
        <v>625</v>
      </c>
      <c r="G10">
        <v>625</v>
      </c>
      <c r="H10">
        <v>625</v>
      </c>
      <c r="K10" t="s">
        <v>27</v>
      </c>
      <c r="L10">
        <v>625</v>
      </c>
      <c r="M10">
        <v>625</v>
      </c>
      <c r="N10">
        <v>625</v>
      </c>
      <c r="O10">
        <v>625</v>
      </c>
      <c r="P10">
        <v>625</v>
      </c>
      <c r="S10" t="s">
        <v>27</v>
      </c>
      <c r="T10">
        <v>625</v>
      </c>
      <c r="U10">
        <v>625</v>
      </c>
      <c r="V10">
        <v>625</v>
      </c>
      <c r="W10">
        <v>625</v>
      </c>
      <c r="X10">
        <v>625</v>
      </c>
      <c r="AC10" t="s">
        <v>27</v>
      </c>
      <c r="AD10">
        <v>625</v>
      </c>
      <c r="AE10">
        <v>625</v>
      </c>
      <c r="AF10">
        <v>625</v>
      </c>
      <c r="AG10">
        <v>625</v>
      </c>
      <c r="AH10">
        <v>625</v>
      </c>
    </row>
    <row r="11" spans="2:34" x14ac:dyDescent="0.3">
      <c r="C11" t="s">
        <v>25</v>
      </c>
      <c r="D11">
        <f>D10/D4</f>
        <v>7.5622646623237089E-4</v>
      </c>
      <c r="E11">
        <f>E10/E4</f>
        <v>7.7722011371041155E-4</v>
      </c>
      <c r="F11">
        <f>F10/F4</f>
        <v>0.533731853116994</v>
      </c>
      <c r="G11">
        <f>G10/G4</f>
        <v>0.702247191011236</v>
      </c>
      <c r="H11">
        <f>H10/H4</f>
        <v>0.86926286509040329</v>
      </c>
      <c r="K11" t="s">
        <v>25</v>
      </c>
      <c r="L11">
        <f>L10/L4</f>
        <v>1.2938576334288097E-4</v>
      </c>
      <c r="M11">
        <f>M10/M4</f>
        <v>1.2988967067461161E-4</v>
      </c>
      <c r="N11">
        <f>N10/N4</f>
        <v>0.36960378474275579</v>
      </c>
      <c r="O11">
        <f>O10/O4</f>
        <v>0.5106209150326797</v>
      </c>
      <c r="P11">
        <f>P10/P4</f>
        <v>0.83780160857908847</v>
      </c>
      <c r="S11" t="s">
        <v>25</v>
      </c>
      <c r="T11">
        <f>T10/T4</f>
        <v>1.0539739201320486E-4</v>
      </c>
      <c r="U11">
        <f>U10/U4</f>
        <v>9.3622677839272483E-5</v>
      </c>
      <c r="V11">
        <f>V10/V4</f>
        <v>3.7741545893719808E-2</v>
      </c>
      <c r="W11">
        <f>W10/W4</f>
        <v>0.34059945504087191</v>
      </c>
      <c r="X11">
        <f>X10/X4</f>
        <v>0.47600913937547601</v>
      </c>
      <c r="AC11" t="s">
        <v>25</v>
      </c>
      <c r="AD11">
        <f>AD10/AD4</f>
        <v>1.0539572130470797E-4</v>
      </c>
      <c r="AE11">
        <f>AE10/AE4</f>
        <v>8.431339220431631E-4</v>
      </c>
      <c r="AF11">
        <f>AF10/AF4</f>
        <v>8.431339220431631E-4</v>
      </c>
      <c r="AG11">
        <f>AG10/AG4</f>
        <v>8.9118426268404742E-4</v>
      </c>
      <c r="AH11">
        <f>AH10/AH4</f>
        <v>1.0370982488803488E-3</v>
      </c>
    </row>
    <row r="12" spans="2:34" x14ac:dyDescent="0.3">
      <c r="C12" t="s">
        <v>18</v>
      </c>
      <c r="D12">
        <v>10000</v>
      </c>
      <c r="E12">
        <v>10000</v>
      </c>
      <c r="F12">
        <v>10000</v>
      </c>
      <c r="G12">
        <v>10000</v>
      </c>
      <c r="H12">
        <v>10000</v>
      </c>
      <c r="K12" t="s">
        <v>18</v>
      </c>
      <c r="L12">
        <v>10000</v>
      </c>
      <c r="M12">
        <v>10000</v>
      </c>
      <c r="N12">
        <v>10000</v>
      </c>
      <c r="O12">
        <v>10000</v>
      </c>
      <c r="P12">
        <v>10000</v>
      </c>
      <c r="S12" t="s">
        <v>18</v>
      </c>
      <c r="T12">
        <v>10000</v>
      </c>
      <c r="U12">
        <v>10000</v>
      </c>
      <c r="V12">
        <v>10000</v>
      </c>
      <c r="W12">
        <v>10000</v>
      </c>
      <c r="X12">
        <v>10000</v>
      </c>
      <c r="AC12" t="s">
        <v>18</v>
      </c>
      <c r="AD12">
        <v>10000</v>
      </c>
      <c r="AE12">
        <v>10000</v>
      </c>
      <c r="AF12">
        <v>10000</v>
      </c>
      <c r="AG12">
        <v>10000</v>
      </c>
      <c r="AH12">
        <v>10000</v>
      </c>
    </row>
    <row r="13" spans="2:34" x14ac:dyDescent="0.3">
      <c r="C13" t="s">
        <v>19</v>
      </c>
      <c r="D13">
        <v>10000</v>
      </c>
      <c r="E13">
        <v>10000</v>
      </c>
      <c r="F13">
        <v>10000</v>
      </c>
      <c r="G13">
        <v>10000</v>
      </c>
      <c r="H13">
        <v>10000</v>
      </c>
      <c r="K13" t="s">
        <v>19</v>
      </c>
      <c r="L13">
        <v>10000</v>
      </c>
      <c r="M13">
        <v>10000</v>
      </c>
      <c r="N13">
        <v>10000</v>
      </c>
      <c r="O13">
        <v>10000</v>
      </c>
      <c r="P13">
        <v>10000</v>
      </c>
      <c r="S13" t="s">
        <v>19</v>
      </c>
      <c r="T13">
        <v>10000</v>
      </c>
      <c r="U13">
        <v>10000</v>
      </c>
      <c r="V13">
        <v>10000</v>
      </c>
      <c r="W13">
        <v>10000</v>
      </c>
      <c r="X13">
        <v>10000</v>
      </c>
      <c r="AC13" t="s">
        <v>19</v>
      </c>
      <c r="AD13">
        <v>10000</v>
      </c>
      <c r="AE13">
        <v>10000</v>
      </c>
      <c r="AF13">
        <v>10000</v>
      </c>
      <c r="AG13">
        <v>10000</v>
      </c>
      <c r="AH13">
        <v>10000</v>
      </c>
    </row>
    <row r="14" spans="2:34" x14ac:dyDescent="0.3">
      <c r="C14" t="s">
        <v>20</v>
      </c>
      <c r="D14">
        <v>1</v>
      </c>
      <c r="E14">
        <v>1</v>
      </c>
      <c r="F14">
        <v>1</v>
      </c>
      <c r="G14">
        <v>1</v>
      </c>
      <c r="H14">
        <v>1</v>
      </c>
      <c r="K14" t="s">
        <v>20</v>
      </c>
      <c r="L14">
        <v>10</v>
      </c>
      <c r="M14">
        <v>10</v>
      </c>
      <c r="N14">
        <v>10</v>
      </c>
      <c r="O14">
        <v>10</v>
      </c>
      <c r="P14">
        <v>10</v>
      </c>
      <c r="S14" t="s">
        <v>20</v>
      </c>
      <c r="T14">
        <v>50</v>
      </c>
      <c r="U14">
        <v>50</v>
      </c>
      <c r="V14">
        <v>50</v>
      </c>
      <c r="W14">
        <v>50</v>
      </c>
      <c r="X14">
        <v>50</v>
      </c>
      <c r="AC14" t="s">
        <v>20</v>
      </c>
      <c r="AD14">
        <v>100</v>
      </c>
      <c r="AE14">
        <v>100</v>
      </c>
      <c r="AF14">
        <v>100</v>
      </c>
      <c r="AG14">
        <v>100</v>
      </c>
      <c r="AH14">
        <v>100</v>
      </c>
    </row>
    <row r="15" spans="2:34" x14ac:dyDescent="0.3">
      <c r="C15" t="s">
        <v>21</v>
      </c>
      <c r="D15">
        <v>1</v>
      </c>
      <c r="E15">
        <v>1</v>
      </c>
      <c r="F15">
        <v>1</v>
      </c>
      <c r="G15">
        <v>2</v>
      </c>
      <c r="H15">
        <v>4</v>
      </c>
      <c r="K15" t="s">
        <v>21</v>
      </c>
      <c r="L15">
        <v>1</v>
      </c>
      <c r="M15">
        <v>1</v>
      </c>
      <c r="N15">
        <v>1</v>
      </c>
      <c r="O15">
        <v>2</v>
      </c>
      <c r="P15">
        <v>4</v>
      </c>
      <c r="S15" t="s">
        <v>21</v>
      </c>
      <c r="T15">
        <v>1</v>
      </c>
      <c r="U15">
        <v>1</v>
      </c>
      <c r="V15">
        <v>1</v>
      </c>
      <c r="W15">
        <v>2</v>
      </c>
      <c r="X15">
        <v>4</v>
      </c>
      <c r="AC15" t="s">
        <v>21</v>
      </c>
      <c r="AD15">
        <v>1</v>
      </c>
      <c r="AE15">
        <v>1</v>
      </c>
      <c r="AF15">
        <v>1</v>
      </c>
      <c r="AG15">
        <v>2</v>
      </c>
      <c r="AH15">
        <v>4</v>
      </c>
    </row>
    <row r="16" spans="2:34" x14ac:dyDescent="0.3">
      <c r="C16" t="s">
        <v>0</v>
      </c>
      <c r="D16">
        <v>8</v>
      </c>
      <c r="E16">
        <v>8</v>
      </c>
      <c r="F16">
        <v>8</v>
      </c>
      <c r="G16">
        <v>8</v>
      </c>
      <c r="H16">
        <v>8</v>
      </c>
      <c r="K16" t="s">
        <v>0</v>
      </c>
      <c r="L16">
        <v>8</v>
      </c>
      <c r="M16">
        <v>8</v>
      </c>
      <c r="N16">
        <v>8</v>
      </c>
      <c r="O16">
        <v>8</v>
      </c>
      <c r="P16">
        <v>8</v>
      </c>
      <c r="S16" t="s">
        <v>0</v>
      </c>
      <c r="T16">
        <v>8</v>
      </c>
      <c r="U16">
        <v>8</v>
      </c>
      <c r="V16">
        <v>8</v>
      </c>
      <c r="W16">
        <v>8</v>
      </c>
      <c r="X16">
        <v>8</v>
      </c>
      <c r="AC16" t="s">
        <v>0</v>
      </c>
      <c r="AD16">
        <v>8</v>
      </c>
      <c r="AE16">
        <v>8</v>
      </c>
      <c r="AF16">
        <v>8</v>
      </c>
      <c r="AG16">
        <v>8</v>
      </c>
      <c r="AH16">
        <v>8</v>
      </c>
    </row>
    <row r="17" spans="11:24" x14ac:dyDescent="0.3">
      <c r="T17" s="2" t="s">
        <v>28</v>
      </c>
      <c r="X17" s="2" t="s">
        <v>29</v>
      </c>
    </row>
    <row r="18" spans="11:24" x14ac:dyDescent="0.3">
      <c r="T18" s="3" t="s">
        <v>30</v>
      </c>
      <c r="X18" s="3" t="s">
        <v>31</v>
      </c>
    </row>
    <row r="19" spans="11:24" x14ac:dyDescent="0.3">
      <c r="K19" t="s">
        <v>33</v>
      </c>
    </row>
    <row r="20" spans="11:24" x14ac:dyDescent="0.3">
      <c r="K20" s="1"/>
      <c r="L20" t="s">
        <v>1</v>
      </c>
      <c r="M20" t="s">
        <v>7</v>
      </c>
      <c r="N20" t="s">
        <v>36</v>
      </c>
      <c r="O20" t="s">
        <v>12</v>
      </c>
      <c r="P20" t="s">
        <v>13</v>
      </c>
    </row>
    <row r="21" spans="11:24" x14ac:dyDescent="0.3">
      <c r="K21" t="s">
        <v>17</v>
      </c>
      <c r="L21">
        <v>4830516</v>
      </c>
      <c r="M21">
        <v>4811776</v>
      </c>
      <c r="N21">
        <v>1186331</v>
      </c>
      <c r="O21">
        <v>1240</v>
      </c>
      <c r="P21">
        <v>843</v>
      </c>
    </row>
    <row r="22" spans="11:24" x14ac:dyDescent="0.3">
      <c r="K22" t="s">
        <v>16</v>
      </c>
      <c r="L22">
        <v>0</v>
      </c>
      <c r="M22">
        <v>0</v>
      </c>
      <c r="N22">
        <v>3694819</v>
      </c>
      <c r="O22">
        <v>4455243</v>
      </c>
      <c r="P22">
        <v>4455935</v>
      </c>
    </row>
    <row r="23" spans="11:24" x14ac:dyDescent="0.3">
      <c r="K23" t="s">
        <v>15</v>
      </c>
      <c r="L23">
        <v>5169484</v>
      </c>
      <c r="M23">
        <v>5188224</v>
      </c>
      <c r="N23">
        <v>5118850</v>
      </c>
      <c r="O23">
        <v>5543517</v>
      </c>
      <c r="P23">
        <v>5543222</v>
      </c>
    </row>
    <row r="24" spans="11:24" x14ac:dyDescent="0.3">
      <c r="K24" t="s">
        <v>5</v>
      </c>
      <c r="L24">
        <f>L21+L22+L23</f>
        <v>10000000</v>
      </c>
      <c r="M24">
        <f>M21+M22+M23</f>
        <v>10000000</v>
      </c>
      <c r="N24">
        <f>N21+N22+N23</f>
        <v>10000000</v>
      </c>
      <c r="O24">
        <f>O21+O22+O23</f>
        <v>10000000</v>
      </c>
      <c r="P24">
        <f>P21+P22+P23</f>
        <v>10000000</v>
      </c>
    </row>
    <row r="25" spans="11:24" x14ac:dyDescent="0.3">
      <c r="K25" t="s">
        <v>23</v>
      </c>
      <c r="L25">
        <f>(L23+L22)/L24</f>
        <v>0.51694839999999997</v>
      </c>
      <c r="M25">
        <f>(M23+M22)/M24</f>
        <v>0.51882240000000002</v>
      </c>
      <c r="N25">
        <f>(N23+N22)/N24</f>
        <v>0.88136689999999995</v>
      </c>
      <c r="O25">
        <f>(O23+O22)/O24</f>
        <v>0.99987599999999999</v>
      </c>
      <c r="P25">
        <f>(P23+P22)/P24</f>
        <v>0.99991569999999996</v>
      </c>
    </row>
    <row r="26" spans="11:24" x14ac:dyDescent="0.3">
      <c r="K26" t="s">
        <v>24</v>
      </c>
      <c r="L26">
        <f>L21/L24</f>
        <v>0.48305160000000003</v>
      </c>
      <c r="M26">
        <f t="shared" ref="M26:P26" si="4">M21/M24</f>
        <v>0.48117759999999998</v>
      </c>
      <c r="N26">
        <f t="shared" si="4"/>
        <v>0.11863310000000001</v>
      </c>
      <c r="O26">
        <f t="shared" si="4"/>
        <v>1.2400000000000001E-4</v>
      </c>
      <c r="P26">
        <f t="shared" si="4"/>
        <v>8.4300000000000003E-5</v>
      </c>
    </row>
    <row r="27" spans="11:24" x14ac:dyDescent="0.3">
      <c r="K27" t="s">
        <v>27</v>
      </c>
      <c r="L27">
        <v>625</v>
      </c>
      <c r="M27">
        <v>625</v>
      </c>
      <c r="N27">
        <v>625</v>
      </c>
      <c r="O27">
        <v>625</v>
      </c>
      <c r="P27">
        <v>625</v>
      </c>
    </row>
    <row r="28" spans="11:24" x14ac:dyDescent="0.3">
      <c r="K28" t="s">
        <v>25</v>
      </c>
      <c r="L28">
        <f>L27/L21</f>
        <v>1.2938576334288097E-4</v>
      </c>
      <c r="M28">
        <f>M27/M21</f>
        <v>1.2988967067461161E-4</v>
      </c>
      <c r="N28">
        <f>N27/N21</f>
        <v>5.2683441636440422E-4</v>
      </c>
      <c r="O28">
        <f>O27/O21</f>
        <v>0.50403225806451613</v>
      </c>
      <c r="P28">
        <f>P27/P21</f>
        <v>0.74139976275207597</v>
      </c>
    </row>
    <row r="29" spans="11:24" x14ac:dyDescent="0.3">
      <c r="K29" t="s">
        <v>18</v>
      </c>
      <c r="L29">
        <v>10000</v>
      </c>
      <c r="M29">
        <v>10000</v>
      </c>
      <c r="N29">
        <v>10000</v>
      </c>
      <c r="O29">
        <v>10000</v>
      </c>
      <c r="P29">
        <v>10000</v>
      </c>
    </row>
    <row r="30" spans="11:24" x14ac:dyDescent="0.3">
      <c r="K30" t="s">
        <v>19</v>
      </c>
      <c r="L30">
        <v>10000</v>
      </c>
      <c r="M30">
        <v>10000</v>
      </c>
      <c r="N30">
        <v>10000</v>
      </c>
      <c r="O30">
        <v>10000</v>
      </c>
      <c r="P30">
        <v>10000</v>
      </c>
    </row>
    <row r="31" spans="11:24" x14ac:dyDescent="0.3">
      <c r="K31" t="s">
        <v>20</v>
      </c>
      <c r="L31">
        <v>10</v>
      </c>
      <c r="M31">
        <v>10</v>
      </c>
      <c r="N31">
        <v>10</v>
      </c>
      <c r="O31">
        <v>10</v>
      </c>
      <c r="P31">
        <v>10</v>
      </c>
    </row>
    <row r="32" spans="11:24" x14ac:dyDescent="0.3">
      <c r="K32" t="s">
        <v>21</v>
      </c>
      <c r="L32">
        <v>1</v>
      </c>
      <c r="M32">
        <v>1</v>
      </c>
      <c r="N32">
        <v>0.5</v>
      </c>
      <c r="O32">
        <v>1</v>
      </c>
      <c r="P32">
        <v>2</v>
      </c>
    </row>
    <row r="33" spans="11:18" x14ac:dyDescent="0.3">
      <c r="K33" t="s">
        <v>0</v>
      </c>
      <c r="L33">
        <v>8</v>
      </c>
      <c r="M33">
        <v>8</v>
      </c>
      <c r="N33">
        <v>8</v>
      </c>
      <c r="O33">
        <v>8</v>
      </c>
      <c r="P33">
        <v>8</v>
      </c>
    </row>
    <row r="37" spans="11:18" x14ac:dyDescent="0.3">
      <c r="K37" s="4" t="s">
        <v>34</v>
      </c>
      <c r="N37" t="s">
        <v>37</v>
      </c>
      <c r="O37" t="s">
        <v>37</v>
      </c>
    </row>
    <row r="38" spans="11:18" x14ac:dyDescent="0.3">
      <c r="K38" s="1"/>
      <c r="L38" t="s">
        <v>1</v>
      </c>
      <c r="M38" t="s">
        <v>7</v>
      </c>
      <c r="N38" t="s">
        <v>35</v>
      </c>
      <c r="O38" t="s">
        <v>36</v>
      </c>
      <c r="P38" t="s">
        <v>12</v>
      </c>
      <c r="Q38" t="s">
        <v>13</v>
      </c>
      <c r="R38" s="6" t="s">
        <v>14</v>
      </c>
    </row>
    <row r="39" spans="11:18" x14ac:dyDescent="0.3">
      <c r="K39" t="s">
        <v>17</v>
      </c>
      <c r="L39">
        <v>4830516</v>
      </c>
      <c r="M39">
        <v>4811776</v>
      </c>
      <c r="N39">
        <v>1186331</v>
      </c>
      <c r="O39">
        <v>1240</v>
      </c>
      <c r="P39">
        <v>1942</v>
      </c>
      <c r="Q39">
        <v>899</v>
      </c>
      <c r="R39">
        <v>648</v>
      </c>
    </row>
    <row r="40" spans="11:18" x14ac:dyDescent="0.3">
      <c r="K40" t="s">
        <v>16</v>
      </c>
      <c r="L40">
        <v>0</v>
      </c>
      <c r="M40">
        <v>0</v>
      </c>
      <c r="N40">
        <v>3694819</v>
      </c>
      <c r="O40">
        <v>4455243</v>
      </c>
      <c r="P40">
        <v>4455932</v>
      </c>
      <c r="Q40">
        <v>4456089</v>
      </c>
      <c r="R40">
        <v>4456055</v>
      </c>
    </row>
    <row r="41" spans="11:18" x14ac:dyDescent="0.3">
      <c r="K41" t="s">
        <v>15</v>
      </c>
      <c r="L41">
        <v>5169484</v>
      </c>
      <c r="M41">
        <v>5188224</v>
      </c>
      <c r="N41">
        <v>5118850</v>
      </c>
      <c r="O41">
        <v>5543517</v>
      </c>
      <c r="P41">
        <v>5542126</v>
      </c>
      <c r="Q41">
        <v>5543012</v>
      </c>
      <c r="R41">
        <v>5543297</v>
      </c>
    </row>
    <row r="42" spans="11:18" x14ac:dyDescent="0.3">
      <c r="K42" t="s">
        <v>5</v>
      </c>
      <c r="L42">
        <f t="shared" ref="L42:R42" si="5">L39+L40+L41</f>
        <v>10000000</v>
      </c>
      <c r="M42">
        <f t="shared" si="5"/>
        <v>10000000</v>
      </c>
      <c r="N42">
        <f t="shared" si="5"/>
        <v>10000000</v>
      </c>
      <c r="O42">
        <f t="shared" si="5"/>
        <v>10000000</v>
      </c>
      <c r="P42">
        <f t="shared" si="5"/>
        <v>10000000</v>
      </c>
      <c r="Q42">
        <f t="shared" si="5"/>
        <v>10000000</v>
      </c>
      <c r="R42">
        <f t="shared" si="5"/>
        <v>10000000</v>
      </c>
    </row>
    <row r="43" spans="11:18" x14ac:dyDescent="0.3">
      <c r="K43" t="s">
        <v>23</v>
      </c>
      <c r="L43">
        <f t="shared" ref="L43:R43" si="6">(L41+L40)/L42</f>
        <v>0.51694839999999997</v>
      </c>
      <c r="M43">
        <f t="shared" si="6"/>
        <v>0.51882240000000002</v>
      </c>
      <c r="N43">
        <f t="shared" si="6"/>
        <v>0.88136689999999995</v>
      </c>
      <c r="O43">
        <f t="shared" si="6"/>
        <v>0.99987599999999999</v>
      </c>
      <c r="P43">
        <f t="shared" si="6"/>
        <v>0.99980579999999997</v>
      </c>
      <c r="Q43">
        <f t="shared" si="6"/>
        <v>0.99991010000000002</v>
      </c>
      <c r="R43">
        <f t="shared" si="6"/>
        <v>0.99993520000000002</v>
      </c>
    </row>
    <row r="44" spans="11:18" x14ac:dyDescent="0.3">
      <c r="K44" t="s">
        <v>24</v>
      </c>
      <c r="L44">
        <f>L39/L42</f>
        <v>0.48305160000000003</v>
      </c>
      <c r="M44">
        <f t="shared" ref="M44:P44" si="7">M39/M42</f>
        <v>0.48117759999999998</v>
      </c>
      <c r="N44">
        <f t="shared" si="7"/>
        <v>0.11863310000000001</v>
      </c>
      <c r="O44">
        <f t="shared" si="7"/>
        <v>1.2400000000000001E-4</v>
      </c>
      <c r="P44">
        <f t="shared" si="7"/>
        <v>1.942E-4</v>
      </c>
      <c r="Q44">
        <f t="shared" ref="Q44:R44" si="8">Q39/Q42</f>
        <v>8.9900000000000003E-5</v>
      </c>
      <c r="R44">
        <f t="shared" si="8"/>
        <v>6.4800000000000003E-5</v>
      </c>
    </row>
    <row r="45" spans="11:18" x14ac:dyDescent="0.3">
      <c r="K45" t="s">
        <v>27</v>
      </c>
      <c r="L45">
        <v>625</v>
      </c>
      <c r="M45">
        <v>625</v>
      </c>
      <c r="N45">
        <v>625</v>
      </c>
      <c r="O45">
        <v>625</v>
      </c>
      <c r="P45">
        <v>625</v>
      </c>
      <c r="Q45">
        <v>625</v>
      </c>
      <c r="R45">
        <v>625</v>
      </c>
    </row>
    <row r="46" spans="11:18" x14ac:dyDescent="0.3">
      <c r="K46" t="s">
        <v>25</v>
      </c>
      <c r="L46">
        <f t="shared" ref="L46:R46" si="9">L45/L39</f>
        <v>1.2938576334288097E-4</v>
      </c>
      <c r="M46">
        <f t="shared" si="9"/>
        <v>1.2988967067461161E-4</v>
      </c>
      <c r="N46">
        <f t="shared" si="9"/>
        <v>5.2683441636440422E-4</v>
      </c>
      <c r="O46">
        <f t="shared" si="9"/>
        <v>0.50403225806451613</v>
      </c>
      <c r="P46">
        <f t="shared" si="9"/>
        <v>0.32183316168898041</v>
      </c>
      <c r="Q46">
        <f t="shared" si="9"/>
        <v>0.69521690767519462</v>
      </c>
      <c r="R46">
        <f t="shared" si="9"/>
        <v>0.96450617283950613</v>
      </c>
    </row>
    <row r="47" spans="11:18" x14ac:dyDescent="0.3">
      <c r="K47" t="s">
        <v>18</v>
      </c>
      <c r="L47">
        <v>10000</v>
      </c>
      <c r="M47">
        <v>10000</v>
      </c>
      <c r="N47">
        <v>10000</v>
      </c>
      <c r="O47">
        <v>10000</v>
      </c>
      <c r="P47">
        <v>10000</v>
      </c>
      <c r="Q47">
        <v>10000</v>
      </c>
      <c r="R47">
        <v>10000</v>
      </c>
    </row>
    <row r="48" spans="11:18" x14ac:dyDescent="0.3">
      <c r="K48" t="s">
        <v>19</v>
      </c>
      <c r="L48">
        <v>10000</v>
      </c>
      <c r="M48">
        <v>10000</v>
      </c>
      <c r="N48">
        <v>10000</v>
      </c>
      <c r="O48">
        <v>10000</v>
      </c>
      <c r="P48">
        <v>10000</v>
      </c>
      <c r="Q48">
        <v>10000</v>
      </c>
      <c r="R48">
        <v>10000</v>
      </c>
    </row>
    <row r="49" spans="11:18" x14ac:dyDescent="0.3">
      <c r="K49" t="s">
        <v>20</v>
      </c>
      <c r="L49">
        <v>10</v>
      </c>
      <c r="M49">
        <v>10</v>
      </c>
      <c r="N49">
        <v>10</v>
      </c>
      <c r="O49">
        <v>10</v>
      </c>
      <c r="P49">
        <v>10</v>
      </c>
      <c r="Q49">
        <v>10</v>
      </c>
      <c r="R49">
        <v>10</v>
      </c>
    </row>
    <row r="50" spans="11:18" x14ac:dyDescent="0.3">
      <c r="K50" t="s">
        <v>21</v>
      </c>
      <c r="L50">
        <v>1</v>
      </c>
      <c r="M50">
        <v>1</v>
      </c>
      <c r="N50">
        <v>0.25</v>
      </c>
      <c r="O50">
        <v>0.5</v>
      </c>
      <c r="P50">
        <v>1</v>
      </c>
      <c r="Q50">
        <v>2</v>
      </c>
      <c r="R50">
        <v>4</v>
      </c>
    </row>
    <row r="51" spans="11:18" x14ac:dyDescent="0.3">
      <c r="K51" t="s">
        <v>0</v>
      </c>
      <c r="L51">
        <v>8</v>
      </c>
      <c r="M51">
        <v>8</v>
      </c>
      <c r="N51">
        <v>8</v>
      </c>
      <c r="O51">
        <v>8</v>
      </c>
      <c r="P51">
        <v>8</v>
      </c>
      <c r="Q51">
        <v>8</v>
      </c>
      <c r="R51">
        <v>8</v>
      </c>
    </row>
    <row r="53" spans="11:18" x14ac:dyDescent="0.3">
      <c r="K53" s="5" t="s">
        <v>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0E89A-A95B-4E37-AC56-24D24AE8BE42}">
  <dimension ref="A1:H11"/>
  <sheetViews>
    <sheetView zoomScale="68" workbookViewId="0">
      <selection activeCell="W14" sqref="W14"/>
    </sheetView>
  </sheetViews>
  <sheetFormatPr defaultRowHeight="14.4" x14ac:dyDescent="0.3"/>
  <cols>
    <col min="1" max="1" width="14.44140625" customWidth="1"/>
    <col min="3" max="3" width="13.21875" customWidth="1"/>
    <col min="4" max="4" width="17" customWidth="1"/>
  </cols>
  <sheetData>
    <row r="1" spans="1:8" x14ac:dyDescent="0.3">
      <c r="A1" t="s">
        <v>10</v>
      </c>
    </row>
    <row r="2" spans="1:8" x14ac:dyDescent="0.3">
      <c r="A2" t="s">
        <v>11</v>
      </c>
    </row>
    <row r="4" spans="1:8" x14ac:dyDescent="0.3">
      <c r="A4" s="1"/>
      <c r="B4" t="s">
        <v>1</v>
      </c>
      <c r="C4" t="s">
        <v>7</v>
      </c>
      <c r="D4" t="s">
        <v>8</v>
      </c>
    </row>
    <row r="5" spans="1:8" x14ac:dyDescent="0.3">
      <c r="A5" t="s">
        <v>2</v>
      </c>
      <c r="B5">
        <v>37706</v>
      </c>
      <c r="C5">
        <v>39007</v>
      </c>
      <c r="D5">
        <v>1965</v>
      </c>
      <c r="F5">
        <f>B5/B8</f>
        <v>0.39011722346952499</v>
      </c>
      <c r="G5">
        <f>C5/C8</f>
        <v>0.4035777471987419</v>
      </c>
      <c r="H5">
        <f>D5/D8</f>
        <v>2.0330460513382928E-2</v>
      </c>
    </row>
    <row r="6" spans="1:8" x14ac:dyDescent="0.3">
      <c r="A6" t="s">
        <v>3</v>
      </c>
      <c r="B6">
        <v>0</v>
      </c>
      <c r="C6">
        <v>0</v>
      </c>
      <c r="D6">
        <v>13091</v>
      </c>
      <c r="F6">
        <f>B6/B8</f>
        <v>0</v>
      </c>
      <c r="G6">
        <f>C6/C8</f>
        <v>0</v>
      </c>
      <c r="H6">
        <f>D6/D8</f>
        <v>0.13544328680951445</v>
      </c>
    </row>
    <row r="7" spans="1:8" x14ac:dyDescent="0.3">
      <c r="A7" t="s">
        <v>4</v>
      </c>
      <c r="B7">
        <v>58947</v>
      </c>
      <c r="C7">
        <v>57646</v>
      </c>
      <c r="D7">
        <v>81597</v>
      </c>
      <c r="F7">
        <f>B7/B8</f>
        <v>0.60988277653047496</v>
      </c>
      <c r="G7">
        <f>C7/C8</f>
        <v>0.59642225280125816</v>
      </c>
      <c r="H7">
        <f>D7/D8</f>
        <v>0.84422625267710261</v>
      </c>
    </row>
    <row r="8" spans="1:8" x14ac:dyDescent="0.3">
      <c r="A8" t="s">
        <v>5</v>
      </c>
      <c r="B8">
        <v>96653</v>
      </c>
      <c r="C8">
        <v>96653</v>
      </c>
      <c r="D8">
        <v>96653</v>
      </c>
    </row>
    <row r="9" spans="1:8" x14ac:dyDescent="0.3">
      <c r="A9" t="s">
        <v>6</v>
      </c>
      <c r="B9">
        <v>0.60988277653047496</v>
      </c>
      <c r="C9">
        <v>0.59642225280125805</v>
      </c>
      <c r="D9">
        <v>0.97966953948661695</v>
      </c>
    </row>
    <row r="10" spans="1:8" x14ac:dyDescent="0.3">
      <c r="A10" t="s">
        <v>0</v>
      </c>
      <c r="B10">
        <v>8</v>
      </c>
      <c r="C10">
        <v>8</v>
      </c>
      <c r="D10">
        <v>8</v>
      </c>
    </row>
    <row r="11" spans="1:8" x14ac:dyDescent="0.3">
      <c r="A11" t="s">
        <v>9</v>
      </c>
      <c r="B11">
        <v>1346</v>
      </c>
      <c r="C11">
        <v>1346</v>
      </c>
      <c r="D11">
        <v>1346</v>
      </c>
      <c r="F11">
        <f>B11/B8</f>
        <v>1.3926106794408864E-2</v>
      </c>
      <c r="G11">
        <f>C11/C8</f>
        <v>1.3926106794408864E-2</v>
      </c>
      <c r="H11">
        <f t="shared" ref="H11" si="0">D11/D8</f>
        <v>1.3926106794408864E-2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7B34-0F1E-40A9-9298-6C0DD4452806}">
  <dimension ref="B3:J24"/>
  <sheetViews>
    <sheetView zoomScale="89" workbookViewId="0">
      <selection activeCell="C10" sqref="C10"/>
    </sheetView>
  </sheetViews>
  <sheetFormatPr defaultRowHeight="14.4" x14ac:dyDescent="0.3"/>
  <cols>
    <col min="2" max="2" width="14.88671875" customWidth="1"/>
    <col min="3" max="3" width="11.44140625" customWidth="1"/>
    <col min="4" max="4" width="12.44140625" customWidth="1"/>
    <col min="5" max="5" width="16.6640625" customWidth="1"/>
    <col min="6" max="6" width="16" customWidth="1"/>
    <col min="7" max="7" width="16.21875" customWidth="1"/>
    <col min="8" max="8" width="16.5546875" customWidth="1"/>
    <col min="9" max="9" width="17.6640625" customWidth="1"/>
    <col min="10" max="10" width="18.109375" customWidth="1"/>
    <col min="11" max="11" width="11.5546875" customWidth="1"/>
  </cols>
  <sheetData>
    <row r="3" spans="2:10" x14ac:dyDescent="0.3">
      <c r="B3" s="1"/>
      <c r="C3" t="s">
        <v>39</v>
      </c>
      <c r="D3" t="s">
        <v>40</v>
      </c>
      <c r="E3" t="s">
        <v>41</v>
      </c>
      <c r="F3" t="s">
        <v>44</v>
      </c>
      <c r="G3" t="s">
        <v>43</v>
      </c>
      <c r="H3" t="s">
        <v>52</v>
      </c>
      <c r="I3" s="7" t="s">
        <v>53</v>
      </c>
      <c r="J3" t="s">
        <v>54</v>
      </c>
    </row>
    <row r="4" spans="2:10" x14ac:dyDescent="0.3">
      <c r="B4" t="s">
        <v>17</v>
      </c>
      <c r="C4">
        <v>826388</v>
      </c>
      <c r="D4">
        <v>804021</v>
      </c>
      <c r="E4">
        <v>806386</v>
      </c>
      <c r="F4">
        <v>682840</v>
      </c>
      <c r="G4">
        <v>429360</v>
      </c>
      <c r="H4">
        <v>48543</v>
      </c>
      <c r="I4">
        <v>3601</v>
      </c>
      <c r="J4">
        <v>3492</v>
      </c>
    </row>
    <row r="5" spans="2:10" x14ac:dyDescent="0.3">
      <c r="B5" t="s">
        <v>4</v>
      </c>
      <c r="C5">
        <v>173612</v>
      </c>
      <c r="D5">
        <v>195979</v>
      </c>
      <c r="E5">
        <v>193614</v>
      </c>
      <c r="F5">
        <v>317160</v>
      </c>
      <c r="G5">
        <v>570640</v>
      </c>
      <c r="H5">
        <v>951457</v>
      </c>
      <c r="I5">
        <v>996399</v>
      </c>
      <c r="J5">
        <v>996508</v>
      </c>
    </row>
    <row r="6" spans="2:10" x14ac:dyDescent="0.3">
      <c r="B6" t="s">
        <v>42</v>
      </c>
      <c r="C6">
        <v>0</v>
      </c>
      <c r="D6">
        <v>0</v>
      </c>
      <c r="E6">
        <v>193614</v>
      </c>
      <c r="F6">
        <v>317160</v>
      </c>
      <c r="G6">
        <v>572391</v>
      </c>
      <c r="H6">
        <v>954236</v>
      </c>
      <c r="I6">
        <v>999375</v>
      </c>
      <c r="J6">
        <v>999375</v>
      </c>
    </row>
    <row r="7" spans="2:10" x14ac:dyDescent="0.3">
      <c r="B7" t="s">
        <v>5</v>
      </c>
      <c r="C7">
        <f t="shared" ref="C7:H7" si="0">C4+C5</f>
        <v>1000000</v>
      </c>
      <c r="D7">
        <f t="shared" si="0"/>
        <v>1000000</v>
      </c>
      <c r="E7">
        <f t="shared" si="0"/>
        <v>1000000</v>
      </c>
      <c r="F7">
        <f t="shared" si="0"/>
        <v>1000000</v>
      </c>
      <c r="G7">
        <f t="shared" si="0"/>
        <v>1000000</v>
      </c>
      <c r="H7">
        <f t="shared" si="0"/>
        <v>1000000</v>
      </c>
      <c r="I7">
        <f t="shared" ref="I7:J7" si="1">I4+I5</f>
        <v>1000000</v>
      </c>
      <c r="J7">
        <f t="shared" si="1"/>
        <v>1000000</v>
      </c>
    </row>
    <row r="8" spans="2:10" x14ac:dyDescent="0.3">
      <c r="B8" t="s">
        <v>49</v>
      </c>
      <c r="C8">
        <f>C5/C7</f>
        <v>0.17361199999999999</v>
      </c>
      <c r="D8">
        <f t="shared" ref="D8:H8" si="2">D5/D7</f>
        <v>0.19597899999999999</v>
      </c>
      <c r="E8">
        <f t="shared" si="2"/>
        <v>0.19361400000000001</v>
      </c>
      <c r="F8">
        <f t="shared" si="2"/>
        <v>0.31716</v>
      </c>
      <c r="G8">
        <f t="shared" si="2"/>
        <v>0.57064000000000004</v>
      </c>
      <c r="H8">
        <f t="shared" si="2"/>
        <v>0.951457</v>
      </c>
      <c r="I8">
        <f t="shared" ref="I8" si="3">I5/I7</f>
        <v>0.99639900000000003</v>
      </c>
      <c r="J8">
        <f t="shared" ref="J8" si="4">J5/J7</f>
        <v>0.99650799999999995</v>
      </c>
    </row>
    <row r="9" spans="2:10" x14ac:dyDescent="0.3">
      <c r="B9" t="s">
        <v>50</v>
      </c>
      <c r="C9">
        <f t="shared" ref="C9:H9" si="5">C4/C7</f>
        <v>0.82638800000000001</v>
      </c>
      <c r="D9">
        <f t="shared" si="5"/>
        <v>0.80402099999999999</v>
      </c>
      <c r="E9">
        <f t="shared" si="5"/>
        <v>0.80638600000000005</v>
      </c>
      <c r="F9">
        <f t="shared" si="5"/>
        <v>0.68284</v>
      </c>
      <c r="G9">
        <f t="shared" si="5"/>
        <v>0.42936000000000002</v>
      </c>
      <c r="H9">
        <f t="shared" si="5"/>
        <v>4.8543000000000003E-2</v>
      </c>
      <c r="I9">
        <f t="shared" ref="I9:J9" si="6">I4/I7</f>
        <v>3.601E-3</v>
      </c>
      <c r="J9">
        <f t="shared" si="6"/>
        <v>3.4919999999999999E-3</v>
      </c>
    </row>
    <row r="10" spans="2:10" x14ac:dyDescent="0.3">
      <c r="B10" t="s">
        <v>51</v>
      </c>
      <c r="C10">
        <f>IFERROR((C5/C6), 0)</f>
        <v>0</v>
      </c>
      <c r="D10">
        <f t="shared" ref="D10:H10" si="7">IFERROR((D5/D6), 0)</f>
        <v>0</v>
      </c>
      <c r="E10">
        <f t="shared" si="7"/>
        <v>1</v>
      </c>
      <c r="F10">
        <f t="shared" si="7"/>
        <v>1</v>
      </c>
      <c r="G10">
        <f t="shared" si="7"/>
        <v>0.99694090228532595</v>
      </c>
      <c r="H10">
        <f t="shared" si="7"/>
        <v>0.9970877225340482</v>
      </c>
      <c r="I10">
        <f t="shared" ref="I10:J10" si="8">IFERROR((I5/I6), 0)</f>
        <v>0.99702213883677293</v>
      </c>
      <c r="J10">
        <f t="shared" si="8"/>
        <v>0.99713120700437774</v>
      </c>
    </row>
    <row r="11" spans="2:10" x14ac:dyDescent="0.3">
      <c r="B11" t="s">
        <v>48</v>
      </c>
      <c r="C11">
        <f>IFERROR(((C6-C5)/C6), 0)</f>
        <v>0</v>
      </c>
      <c r="D11">
        <f t="shared" ref="D11:H11" si="9">IFERROR(((D6-D5)/D6), 0)</f>
        <v>0</v>
      </c>
      <c r="E11">
        <f t="shared" si="9"/>
        <v>0</v>
      </c>
      <c r="F11">
        <f t="shared" si="9"/>
        <v>0</v>
      </c>
      <c r="G11">
        <f t="shared" si="9"/>
        <v>3.0590977146740602E-3</v>
      </c>
      <c r="H11">
        <f t="shared" si="9"/>
        <v>2.9122774659518192E-3</v>
      </c>
      <c r="I11">
        <f t="shared" ref="I11:J11" si="10">IFERROR(((I6-I5)/I6), 0)</f>
        <v>2.977861163227017E-3</v>
      </c>
      <c r="J11">
        <f t="shared" si="10"/>
        <v>2.8687929956222641E-3</v>
      </c>
    </row>
    <row r="12" spans="2:10" x14ac:dyDescent="0.3">
      <c r="B12" t="s">
        <v>45</v>
      </c>
      <c r="C12">
        <v>0</v>
      </c>
      <c r="D12">
        <v>0</v>
      </c>
      <c r="E12">
        <v>88</v>
      </c>
      <c r="F12">
        <v>176</v>
      </c>
      <c r="G12">
        <v>3473</v>
      </c>
      <c r="H12">
        <v>3527</v>
      </c>
      <c r="I12">
        <v>3601</v>
      </c>
      <c r="J12">
        <v>3492</v>
      </c>
    </row>
    <row r="13" spans="2:10" x14ac:dyDescent="0.3">
      <c r="B13" t="s">
        <v>46</v>
      </c>
      <c r="C13">
        <v>0</v>
      </c>
      <c r="D13">
        <v>0</v>
      </c>
      <c r="E13">
        <v>0</v>
      </c>
      <c r="F13">
        <v>0</v>
      </c>
      <c r="G13">
        <v>3218</v>
      </c>
      <c r="H13">
        <v>3272</v>
      </c>
      <c r="I13">
        <v>3346</v>
      </c>
      <c r="J13">
        <v>3237</v>
      </c>
    </row>
    <row r="14" spans="2:10" x14ac:dyDescent="0.3">
      <c r="B14" t="s">
        <v>47</v>
      </c>
      <c r="C14">
        <v>0</v>
      </c>
      <c r="D14">
        <v>0</v>
      </c>
      <c r="E14">
        <v>0.34372201562499999</v>
      </c>
      <c r="F14">
        <v>0.68738644921875003</v>
      </c>
      <c r="G14">
        <v>0.99588811328125004</v>
      </c>
      <c r="H14">
        <v>0.99589310156249999</v>
      </c>
      <c r="I14">
        <v>0.99589310156249999</v>
      </c>
      <c r="J14">
        <v>0.99589310156249999</v>
      </c>
    </row>
    <row r="15" spans="2:10" x14ac:dyDescent="0.3">
      <c r="B15" t="s">
        <v>56</v>
      </c>
      <c r="C15">
        <v>256</v>
      </c>
      <c r="D15">
        <v>256</v>
      </c>
      <c r="E15">
        <v>256</v>
      </c>
      <c r="F15">
        <v>256</v>
      </c>
      <c r="G15">
        <v>256</v>
      </c>
      <c r="H15">
        <v>256</v>
      </c>
      <c r="I15">
        <v>256</v>
      </c>
      <c r="J15">
        <v>256</v>
      </c>
    </row>
    <row r="16" spans="2:10" x14ac:dyDescent="0.3">
      <c r="B16" t="s">
        <v>27</v>
      </c>
      <c r="C16">
        <v>625</v>
      </c>
      <c r="D16">
        <v>625</v>
      </c>
      <c r="E16">
        <v>625</v>
      </c>
      <c r="F16">
        <v>625</v>
      </c>
      <c r="G16">
        <v>625</v>
      </c>
      <c r="H16">
        <v>625</v>
      </c>
      <c r="I16">
        <v>625</v>
      </c>
      <c r="J16">
        <v>625</v>
      </c>
    </row>
    <row r="17" spans="2:10" x14ac:dyDescent="0.3">
      <c r="B17" t="s">
        <v>25</v>
      </c>
      <c r="C17">
        <f>C16/C4</f>
        <v>7.5630333451114974E-4</v>
      </c>
      <c r="D17">
        <f>D16/D4</f>
        <v>7.7734288034765262E-4</v>
      </c>
      <c r="E17">
        <f>E16/E4</f>
        <v>7.7506305913049086E-4</v>
      </c>
      <c r="F17">
        <f>F16/F4</f>
        <v>9.1529494464296171E-4</v>
      </c>
      <c r="G17">
        <f>G16/G4</f>
        <v>1.4556549282653251E-3</v>
      </c>
      <c r="H17">
        <f t="shared" ref="H17:J17" si="11">H16/H4</f>
        <v>1.2875182827596152E-2</v>
      </c>
      <c r="I17">
        <f t="shared" si="11"/>
        <v>0.17356289919466814</v>
      </c>
      <c r="J17">
        <f t="shared" si="11"/>
        <v>0.17898052691867125</v>
      </c>
    </row>
    <row r="18" spans="2:10" x14ac:dyDescent="0.3">
      <c r="B18" t="s">
        <v>18</v>
      </c>
      <c r="C18">
        <v>10000</v>
      </c>
      <c r="D18">
        <v>10000</v>
      </c>
      <c r="E18">
        <v>10000</v>
      </c>
      <c r="F18">
        <v>10000</v>
      </c>
      <c r="G18">
        <v>10000</v>
      </c>
      <c r="H18">
        <v>10000</v>
      </c>
      <c r="I18">
        <v>10000</v>
      </c>
      <c r="J18">
        <v>10000</v>
      </c>
    </row>
    <row r="19" spans="2:10" x14ac:dyDescent="0.3">
      <c r="B19" t="s">
        <v>19</v>
      </c>
      <c r="C19">
        <v>10000</v>
      </c>
      <c r="D19">
        <v>10000</v>
      </c>
      <c r="E19">
        <v>10000</v>
      </c>
      <c r="F19">
        <v>10000</v>
      </c>
      <c r="G19">
        <v>10000</v>
      </c>
      <c r="H19">
        <v>10000</v>
      </c>
      <c r="I19">
        <v>10000</v>
      </c>
      <c r="J19">
        <v>10000</v>
      </c>
    </row>
    <row r="20" spans="2:10" x14ac:dyDescent="0.3">
      <c r="B20" t="s">
        <v>20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2:10" x14ac:dyDescent="0.3">
      <c r="B21" t="s">
        <v>21</v>
      </c>
      <c r="C21">
        <v>1</v>
      </c>
      <c r="D21">
        <v>1</v>
      </c>
      <c r="E21">
        <v>1</v>
      </c>
      <c r="F21">
        <v>2</v>
      </c>
      <c r="G21">
        <v>4</v>
      </c>
      <c r="H21">
        <v>8</v>
      </c>
      <c r="I21">
        <v>16</v>
      </c>
      <c r="J21">
        <v>32</v>
      </c>
    </row>
    <row r="22" spans="2:10" x14ac:dyDescent="0.3">
      <c r="B22" t="s">
        <v>0</v>
      </c>
      <c r="C22">
        <v>1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</row>
    <row r="23" spans="2:10" x14ac:dyDescent="0.3">
      <c r="I23" s="4" t="s">
        <v>55</v>
      </c>
      <c r="J23" s="4" t="s">
        <v>55</v>
      </c>
    </row>
    <row r="24" spans="2:10" x14ac:dyDescent="0.3">
      <c r="I24" s="3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BC7D-5561-4A8F-8F6F-211D40004243}">
  <dimension ref="A1:AK38"/>
  <sheetViews>
    <sheetView zoomScale="81" zoomScaleNormal="187" workbookViewId="0">
      <selection activeCell="A19" sqref="A19:XFD19"/>
    </sheetView>
  </sheetViews>
  <sheetFormatPr defaultRowHeight="14.4" x14ac:dyDescent="0.3"/>
  <cols>
    <col min="1" max="1" width="16.44140625" customWidth="1"/>
    <col min="2" max="2" width="18" customWidth="1"/>
    <col min="4" max="4" width="11.44140625" customWidth="1"/>
    <col min="6" max="6" width="11.5546875" customWidth="1"/>
    <col min="8" max="8" width="11.33203125" customWidth="1"/>
    <col min="10" max="10" width="11.88671875" customWidth="1"/>
    <col min="12" max="12" width="12" customWidth="1"/>
    <col min="14" max="14" width="11.6640625" customWidth="1"/>
    <col min="16" max="16" width="11.77734375" customWidth="1"/>
    <col min="17" max="17" width="11" customWidth="1"/>
    <col min="18" max="18" width="13.44140625" customWidth="1"/>
    <col min="19" max="19" width="12" customWidth="1"/>
    <col min="20" max="20" width="11.77734375" customWidth="1"/>
    <col min="22" max="22" width="11.88671875" customWidth="1"/>
    <col min="23" max="23" width="17.33203125" customWidth="1"/>
    <col min="24" max="28" width="11.88671875" customWidth="1"/>
    <col min="29" max="29" width="11.6640625" customWidth="1"/>
    <col min="30" max="30" width="12.21875" customWidth="1"/>
    <col min="31" max="31" width="10.77734375" customWidth="1"/>
    <col min="32" max="32" width="11.77734375" customWidth="1"/>
    <col min="37" max="37" width="14.77734375" customWidth="1"/>
  </cols>
  <sheetData>
    <row r="1" spans="1:32" x14ac:dyDescent="0.3">
      <c r="A1" t="s">
        <v>90</v>
      </c>
    </row>
    <row r="2" spans="1:32" x14ac:dyDescent="0.3">
      <c r="B2" t="s">
        <v>72</v>
      </c>
      <c r="C2" s="10" t="s">
        <v>73</v>
      </c>
      <c r="D2" s="10"/>
      <c r="E2" s="10" t="s">
        <v>74</v>
      </c>
      <c r="F2" s="10"/>
      <c r="G2" s="10" t="s">
        <v>73</v>
      </c>
      <c r="H2" s="10"/>
      <c r="I2" s="10" t="s">
        <v>75</v>
      </c>
      <c r="J2" s="10"/>
      <c r="K2" s="10" t="s">
        <v>76</v>
      </c>
      <c r="L2" s="10"/>
      <c r="M2" s="10" t="s">
        <v>77</v>
      </c>
      <c r="N2" s="10"/>
      <c r="O2" s="10" t="s">
        <v>76</v>
      </c>
      <c r="P2" s="10"/>
      <c r="Q2" s="10" t="s">
        <v>78</v>
      </c>
      <c r="R2" s="10"/>
      <c r="S2" s="10" t="s">
        <v>79</v>
      </c>
      <c r="T2" s="10"/>
      <c r="U2" s="10" t="s">
        <v>80</v>
      </c>
      <c r="V2" s="10"/>
      <c r="W2" s="10" t="s">
        <v>91</v>
      </c>
      <c r="X2" s="10"/>
      <c r="Y2" s="10" t="s">
        <v>91</v>
      </c>
      <c r="Z2" s="10"/>
      <c r="AA2" s="10" t="s">
        <v>91</v>
      </c>
      <c r="AB2" s="10"/>
      <c r="AC2" s="10" t="s">
        <v>83</v>
      </c>
      <c r="AD2" s="10"/>
      <c r="AE2" s="10" t="s">
        <v>83</v>
      </c>
      <c r="AF2" s="10"/>
    </row>
    <row r="3" spans="1:32" x14ac:dyDescent="0.3">
      <c r="B3" t="s">
        <v>71</v>
      </c>
      <c r="C3" s="10" t="s">
        <v>59</v>
      </c>
      <c r="D3" s="10"/>
      <c r="E3" s="10" t="s">
        <v>60</v>
      </c>
      <c r="F3" s="10"/>
      <c r="G3" s="10" t="s">
        <v>61</v>
      </c>
      <c r="H3" s="10"/>
      <c r="I3" s="10" t="s">
        <v>62</v>
      </c>
      <c r="J3" s="10"/>
      <c r="K3" s="10" t="s">
        <v>63</v>
      </c>
      <c r="L3" s="10"/>
      <c r="M3" s="10" t="s">
        <v>64</v>
      </c>
      <c r="N3" s="10"/>
      <c r="O3" s="10" t="s">
        <v>65</v>
      </c>
      <c r="P3" s="10"/>
      <c r="Q3" s="10" t="s">
        <v>66</v>
      </c>
      <c r="R3" s="10"/>
      <c r="S3" s="10" t="s">
        <v>68</v>
      </c>
      <c r="T3" s="10"/>
      <c r="U3" s="10" t="s">
        <v>69</v>
      </c>
      <c r="V3" s="10"/>
      <c r="W3" s="10" t="s">
        <v>92</v>
      </c>
      <c r="X3" s="10"/>
      <c r="Y3" s="10" t="s">
        <v>93</v>
      </c>
      <c r="Z3" s="10"/>
      <c r="AA3" s="10" t="s">
        <v>94</v>
      </c>
      <c r="AB3" s="10"/>
      <c r="AC3" s="10" t="s">
        <v>87</v>
      </c>
      <c r="AD3" s="10"/>
      <c r="AE3" s="10" t="s">
        <v>84</v>
      </c>
      <c r="AF3" s="10"/>
    </row>
    <row r="4" spans="1:32" x14ac:dyDescent="0.3">
      <c r="B4" t="s">
        <v>70</v>
      </c>
      <c r="C4" t="s">
        <v>67</v>
      </c>
      <c r="D4" t="s">
        <v>58</v>
      </c>
      <c r="E4" t="s">
        <v>67</v>
      </c>
      <c r="F4" t="s">
        <v>58</v>
      </c>
      <c r="G4" t="s">
        <v>67</v>
      </c>
      <c r="H4" t="s">
        <v>58</v>
      </c>
      <c r="I4" t="s">
        <v>67</v>
      </c>
      <c r="J4" t="s">
        <v>58</v>
      </c>
      <c r="K4" t="s">
        <v>67</v>
      </c>
      <c r="L4" t="s">
        <v>58</v>
      </c>
      <c r="M4" t="s">
        <v>67</v>
      </c>
      <c r="N4" t="s">
        <v>58</v>
      </c>
      <c r="O4" t="s">
        <v>67</v>
      </c>
      <c r="P4" t="s">
        <v>58</v>
      </c>
      <c r="Q4" t="s">
        <v>67</v>
      </c>
      <c r="R4" t="s">
        <v>58</v>
      </c>
      <c r="S4" t="s">
        <v>67</v>
      </c>
      <c r="T4" t="s">
        <v>58</v>
      </c>
      <c r="U4" t="s">
        <v>67</v>
      </c>
      <c r="V4" t="s">
        <v>58</v>
      </c>
      <c r="W4" t="s">
        <v>67</v>
      </c>
      <c r="X4" t="s">
        <v>58</v>
      </c>
      <c r="Y4" t="s">
        <v>67</v>
      </c>
      <c r="Z4" t="s">
        <v>58</v>
      </c>
      <c r="AA4" t="s">
        <v>67</v>
      </c>
      <c r="AB4" t="s">
        <v>58</v>
      </c>
      <c r="AC4" t="s">
        <v>67</v>
      </c>
      <c r="AD4" t="s">
        <v>58</v>
      </c>
      <c r="AE4" t="s">
        <v>67</v>
      </c>
      <c r="AF4" t="s">
        <v>58</v>
      </c>
    </row>
    <row r="5" spans="1:32" x14ac:dyDescent="0.3">
      <c r="B5" t="s">
        <v>17</v>
      </c>
      <c r="C5">
        <v>68</v>
      </c>
      <c r="D5">
        <v>68</v>
      </c>
      <c r="E5">
        <v>140</v>
      </c>
      <c r="F5">
        <v>321</v>
      </c>
      <c r="G5">
        <v>708</v>
      </c>
      <c r="H5">
        <v>1986</v>
      </c>
      <c r="I5">
        <v>126195</v>
      </c>
      <c r="J5">
        <v>4203</v>
      </c>
      <c r="K5">
        <v>39476</v>
      </c>
      <c r="L5">
        <v>4057</v>
      </c>
      <c r="M5">
        <v>601</v>
      </c>
      <c r="N5">
        <v>681</v>
      </c>
      <c r="O5">
        <v>35877</v>
      </c>
      <c r="P5">
        <v>25183</v>
      </c>
      <c r="Q5">
        <v>2701</v>
      </c>
      <c r="R5">
        <v>2748</v>
      </c>
      <c r="S5">
        <v>6146</v>
      </c>
      <c r="T5">
        <v>4185</v>
      </c>
      <c r="U5">
        <v>70375</v>
      </c>
      <c r="V5">
        <v>1323</v>
      </c>
      <c r="W5">
        <v>42561</v>
      </c>
      <c r="X5">
        <v>1998</v>
      </c>
      <c r="AC5">
        <v>755813</v>
      </c>
      <c r="AD5">
        <v>1896</v>
      </c>
      <c r="AE5">
        <v>781250</v>
      </c>
      <c r="AF5">
        <v>1656</v>
      </c>
    </row>
    <row r="6" spans="1:32" x14ac:dyDescent="0.3">
      <c r="B6" t="s">
        <v>4</v>
      </c>
      <c r="C6">
        <v>22002</v>
      </c>
      <c r="D6">
        <v>22002</v>
      </c>
      <c r="E6">
        <v>83743</v>
      </c>
      <c r="F6">
        <v>83562</v>
      </c>
      <c r="G6">
        <v>427942</v>
      </c>
      <c r="H6">
        <v>426664</v>
      </c>
      <c r="I6">
        <v>2336775</v>
      </c>
      <c r="J6">
        <v>2458767</v>
      </c>
      <c r="K6">
        <v>57177</v>
      </c>
      <c r="L6">
        <v>92596</v>
      </c>
      <c r="M6">
        <v>84663</v>
      </c>
      <c r="N6">
        <v>84583</v>
      </c>
      <c r="O6">
        <v>176659</v>
      </c>
      <c r="P6">
        <v>187353</v>
      </c>
      <c r="Q6">
        <v>761313</v>
      </c>
      <c r="R6">
        <v>761266</v>
      </c>
      <c r="S6">
        <v>4338619</v>
      </c>
      <c r="T6">
        <v>4340580</v>
      </c>
      <c r="U6">
        <v>472785</v>
      </c>
      <c r="V6">
        <v>541837</v>
      </c>
      <c r="W6">
        <v>61128</v>
      </c>
      <c r="X6">
        <v>101691</v>
      </c>
      <c r="AC6">
        <v>244187</v>
      </c>
      <c r="AD6">
        <v>998104</v>
      </c>
      <c r="AE6">
        <v>99218750</v>
      </c>
      <c r="AF6">
        <v>99998344</v>
      </c>
    </row>
    <row r="7" spans="1:32" x14ac:dyDescent="0.3">
      <c r="B7" t="s">
        <v>42</v>
      </c>
    </row>
    <row r="8" spans="1:32" x14ac:dyDescent="0.3">
      <c r="B8" t="s">
        <v>5</v>
      </c>
      <c r="C8">
        <f>C5+C6</f>
        <v>22070</v>
      </c>
      <c r="D8">
        <f t="shared" ref="D8:V8" si="0">D5+D6</f>
        <v>22070</v>
      </c>
      <c r="E8">
        <f t="shared" si="0"/>
        <v>83883</v>
      </c>
      <c r="F8">
        <f t="shared" si="0"/>
        <v>83883</v>
      </c>
      <c r="G8">
        <f t="shared" si="0"/>
        <v>428650</v>
      </c>
      <c r="H8">
        <f t="shared" si="0"/>
        <v>428650</v>
      </c>
      <c r="I8">
        <f t="shared" si="0"/>
        <v>2462970</v>
      </c>
      <c r="J8">
        <f t="shared" si="0"/>
        <v>2462970</v>
      </c>
      <c r="K8">
        <f t="shared" si="0"/>
        <v>96653</v>
      </c>
      <c r="L8">
        <f t="shared" si="0"/>
        <v>96653</v>
      </c>
      <c r="M8">
        <f t="shared" si="0"/>
        <v>85264</v>
      </c>
      <c r="N8">
        <f t="shared" si="0"/>
        <v>85264</v>
      </c>
      <c r="O8">
        <f t="shared" si="0"/>
        <v>212536</v>
      </c>
      <c r="P8">
        <f t="shared" si="0"/>
        <v>212536</v>
      </c>
      <c r="Q8">
        <f t="shared" si="0"/>
        <v>764014</v>
      </c>
      <c r="R8">
        <f t="shared" si="0"/>
        <v>764014</v>
      </c>
      <c r="S8">
        <f t="shared" si="0"/>
        <v>4344765</v>
      </c>
      <c r="T8">
        <f t="shared" si="0"/>
        <v>4344765</v>
      </c>
      <c r="U8">
        <f t="shared" si="0"/>
        <v>543160</v>
      </c>
      <c r="V8">
        <f t="shared" si="0"/>
        <v>543160</v>
      </c>
      <c r="W8">
        <f t="shared" ref="W8:X8" si="1">W5+W6</f>
        <v>103689</v>
      </c>
      <c r="X8">
        <f t="shared" si="1"/>
        <v>103689</v>
      </c>
      <c r="Y8">
        <f t="shared" ref="Y8:AB8" si="2">Y5+Y6</f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ref="AC8:AF8" si="3">AC5+AC6</f>
        <v>1000000</v>
      </c>
      <c r="AD8">
        <f t="shared" si="3"/>
        <v>1000000</v>
      </c>
      <c r="AE8">
        <f t="shared" si="3"/>
        <v>100000000</v>
      </c>
      <c r="AF8">
        <f t="shared" si="3"/>
        <v>100000000</v>
      </c>
    </row>
    <row r="9" spans="1:32" x14ac:dyDescent="0.3">
      <c r="B9" t="s">
        <v>49</v>
      </c>
      <c r="C9">
        <f>IFERROR(C6/C8, 0)</f>
        <v>0.99691889442682369</v>
      </c>
      <c r="D9">
        <f t="shared" ref="D9:V9" si="4">IFERROR(D6/D8, 0)</f>
        <v>0.99691889442682369</v>
      </c>
      <c r="E9">
        <f t="shared" si="4"/>
        <v>0.99833100866683355</v>
      </c>
      <c r="F9">
        <f t="shared" si="4"/>
        <v>0.99617324130038265</v>
      </c>
      <c r="G9">
        <f t="shared" si="4"/>
        <v>0.99834830281115128</v>
      </c>
      <c r="H9">
        <f t="shared" si="4"/>
        <v>0.99536684941094133</v>
      </c>
      <c r="I9">
        <f t="shared" si="4"/>
        <v>0.94876307872203069</v>
      </c>
      <c r="J9">
        <f t="shared" si="4"/>
        <v>0.99829352367263913</v>
      </c>
      <c r="K9">
        <f t="shared" si="4"/>
        <v>0.591569842632924</v>
      </c>
      <c r="L9">
        <f t="shared" si="4"/>
        <v>0.95802510010035902</v>
      </c>
      <c r="M9">
        <f t="shared" si="4"/>
        <v>0.99295130418465005</v>
      </c>
      <c r="N9">
        <f t="shared" si="4"/>
        <v>0.9920130418465003</v>
      </c>
      <c r="O9">
        <f t="shared" si="4"/>
        <v>0.83119565626529157</v>
      </c>
      <c r="P9">
        <f t="shared" si="4"/>
        <v>0.8815118379945045</v>
      </c>
      <c r="Q9">
        <f t="shared" si="4"/>
        <v>0.99646472446839984</v>
      </c>
      <c r="R9">
        <f t="shared" si="4"/>
        <v>0.9964032072710709</v>
      </c>
      <c r="S9">
        <f t="shared" si="4"/>
        <v>0.99858542406781492</v>
      </c>
      <c r="T9">
        <f t="shared" si="4"/>
        <v>0.99903677183921336</v>
      </c>
      <c r="U9">
        <f t="shared" si="4"/>
        <v>0.87043412622431693</v>
      </c>
      <c r="V9">
        <f t="shared" si="4"/>
        <v>0.99756425362692391</v>
      </c>
      <c r="W9">
        <f t="shared" ref="W9:X9" si="5">IFERROR(W6/W8, 0)</f>
        <v>0.58953215866678244</v>
      </c>
      <c r="X9">
        <f t="shared" si="5"/>
        <v>0.98073083933686311</v>
      </c>
      <c r="Y9">
        <f t="shared" ref="Y9:AB9" si="6">IFERROR(Y6/Y8, 0)</f>
        <v>0</v>
      </c>
      <c r="Z9">
        <f t="shared" si="6"/>
        <v>0</v>
      </c>
      <c r="AA9">
        <f t="shared" si="6"/>
        <v>0</v>
      </c>
      <c r="AB9">
        <f t="shared" si="6"/>
        <v>0</v>
      </c>
      <c r="AC9">
        <f t="shared" ref="AC9:AF9" si="7">IFERROR(AC6/AC8, 0)</f>
        <v>0.24418699999999999</v>
      </c>
      <c r="AD9">
        <f t="shared" si="7"/>
        <v>0.99810399999999999</v>
      </c>
      <c r="AE9">
        <f t="shared" si="7"/>
        <v>0.9921875</v>
      </c>
      <c r="AF9">
        <f t="shared" si="7"/>
        <v>0.99998343999999995</v>
      </c>
    </row>
    <row r="10" spans="1:32" x14ac:dyDescent="0.3">
      <c r="B10" t="s">
        <v>50</v>
      </c>
      <c r="C10">
        <f>IFERROR(C5/C8, 0)</f>
        <v>3.0811055731762575E-3</v>
      </c>
      <c r="D10">
        <f t="shared" ref="D10:V10" si="8">IFERROR(D5/D8, 0)</f>
        <v>3.0811055731762575E-3</v>
      </c>
      <c r="E10">
        <f t="shared" si="8"/>
        <v>1.6689913331664342E-3</v>
      </c>
      <c r="F10">
        <f t="shared" si="8"/>
        <v>3.8267586996173241E-3</v>
      </c>
      <c r="G10">
        <f t="shared" si="8"/>
        <v>1.6516971888487111E-3</v>
      </c>
      <c r="H10">
        <f t="shared" si="8"/>
        <v>4.6331505890586724E-3</v>
      </c>
      <c r="I10">
        <f t="shared" si="8"/>
        <v>5.1236921277969284E-2</v>
      </c>
      <c r="J10">
        <f t="shared" si="8"/>
        <v>1.7064763273608693E-3</v>
      </c>
      <c r="K10">
        <f t="shared" si="8"/>
        <v>0.40843015736707605</v>
      </c>
      <c r="L10">
        <f t="shared" si="8"/>
        <v>4.1974899899640983E-2</v>
      </c>
      <c r="M10">
        <f t="shared" si="8"/>
        <v>7.0486958153499722E-3</v>
      </c>
      <c r="N10">
        <f t="shared" si="8"/>
        <v>7.9869581534997187E-3</v>
      </c>
      <c r="O10">
        <f t="shared" si="8"/>
        <v>0.16880434373470848</v>
      </c>
      <c r="P10">
        <f t="shared" si="8"/>
        <v>0.11848816200549554</v>
      </c>
      <c r="Q10">
        <f t="shared" si="8"/>
        <v>3.5352755316002062E-3</v>
      </c>
      <c r="R10">
        <f>IFERROR(R5/R8, 0)</f>
        <v>3.5967927289290509E-3</v>
      </c>
      <c r="S10">
        <f t="shared" si="8"/>
        <v>1.4145759321850548E-3</v>
      </c>
      <c r="T10">
        <f t="shared" si="8"/>
        <v>9.6322816078660181E-4</v>
      </c>
      <c r="U10">
        <f t="shared" si="8"/>
        <v>0.12956587377568304</v>
      </c>
      <c r="V10">
        <f t="shared" si="8"/>
        <v>2.4357463730760734E-3</v>
      </c>
      <c r="W10">
        <f t="shared" ref="W10:X10" si="9">IFERROR(W5/W8, 0)</f>
        <v>0.41046784133321762</v>
      </c>
      <c r="X10">
        <f t="shared" si="9"/>
        <v>1.9269160663136879E-2</v>
      </c>
      <c r="Y10">
        <f t="shared" ref="Y10:AB10" si="10">IFERROR(Y5/Y8, 0)</f>
        <v>0</v>
      </c>
      <c r="Z10">
        <f t="shared" si="10"/>
        <v>0</v>
      </c>
      <c r="AA10">
        <f t="shared" si="10"/>
        <v>0</v>
      </c>
      <c r="AB10">
        <f t="shared" si="10"/>
        <v>0</v>
      </c>
      <c r="AC10">
        <f t="shared" ref="AC10:AF10" si="11">IFERROR(AC5/AC8, 0)</f>
        <v>0.75581299999999996</v>
      </c>
      <c r="AD10">
        <f t="shared" si="11"/>
        <v>1.8959999999999999E-3</v>
      </c>
      <c r="AE10">
        <f t="shared" si="11"/>
        <v>7.8125E-3</v>
      </c>
      <c r="AF10">
        <f t="shared" si="11"/>
        <v>1.6560000000000001E-5</v>
      </c>
    </row>
    <row r="11" spans="1:32" x14ac:dyDescent="0.3">
      <c r="B11" t="s">
        <v>51</v>
      </c>
    </row>
    <row r="12" spans="1:32" x14ac:dyDescent="0.3">
      <c r="B12" t="s">
        <v>48</v>
      </c>
    </row>
    <row r="13" spans="1:32" x14ac:dyDescent="0.3">
      <c r="B13" t="s">
        <v>45</v>
      </c>
      <c r="C13">
        <v>66</v>
      </c>
      <c r="D13">
        <v>68</v>
      </c>
      <c r="E13">
        <v>106</v>
      </c>
      <c r="F13">
        <v>321</v>
      </c>
      <c r="G13">
        <v>128</v>
      </c>
      <c r="H13">
        <v>1982</v>
      </c>
      <c r="I13">
        <v>128</v>
      </c>
      <c r="J13">
        <v>4203</v>
      </c>
      <c r="K13">
        <v>128</v>
      </c>
      <c r="L13">
        <v>3242</v>
      </c>
      <c r="M13">
        <v>128</v>
      </c>
      <c r="N13">
        <v>681</v>
      </c>
      <c r="O13">
        <v>128</v>
      </c>
      <c r="P13">
        <v>3003</v>
      </c>
      <c r="Q13">
        <v>128</v>
      </c>
      <c r="R13">
        <v>2194</v>
      </c>
      <c r="S13">
        <v>128</v>
      </c>
      <c r="T13">
        <v>2948</v>
      </c>
      <c r="U13">
        <v>128</v>
      </c>
      <c r="V13">
        <v>1323</v>
      </c>
      <c r="W13">
        <v>128</v>
      </c>
      <c r="X13">
        <v>1996</v>
      </c>
      <c r="AC13">
        <v>128</v>
      </c>
      <c r="AD13">
        <v>1865</v>
      </c>
      <c r="AE13">
        <v>128</v>
      </c>
      <c r="AF13">
        <v>1656</v>
      </c>
    </row>
    <row r="14" spans="1:32" x14ac:dyDescent="0.3">
      <c r="B14" t="s">
        <v>46</v>
      </c>
      <c r="C14">
        <v>0</v>
      </c>
      <c r="D14">
        <v>0</v>
      </c>
      <c r="E14">
        <v>0</v>
      </c>
      <c r="F14">
        <v>5</v>
      </c>
      <c r="G14">
        <v>0</v>
      </c>
      <c r="H14">
        <v>47</v>
      </c>
      <c r="I14">
        <v>0</v>
      </c>
      <c r="J14">
        <v>102</v>
      </c>
      <c r="K14">
        <v>0</v>
      </c>
      <c r="L14">
        <v>78</v>
      </c>
      <c r="M14">
        <v>0</v>
      </c>
      <c r="N14">
        <v>14</v>
      </c>
      <c r="O14">
        <v>0</v>
      </c>
      <c r="P14">
        <v>72</v>
      </c>
      <c r="Q14">
        <v>0</v>
      </c>
      <c r="R14">
        <v>52</v>
      </c>
      <c r="S14">
        <v>0</v>
      </c>
      <c r="T14">
        <v>71</v>
      </c>
      <c r="U14">
        <v>0</v>
      </c>
      <c r="V14">
        <v>30</v>
      </c>
      <c r="W14">
        <v>0</v>
      </c>
      <c r="X14">
        <v>47</v>
      </c>
      <c r="AC14">
        <v>0</v>
      </c>
      <c r="AD14">
        <v>44</v>
      </c>
      <c r="AE14">
        <v>0</v>
      </c>
      <c r="AF14">
        <v>39</v>
      </c>
    </row>
    <row r="15" spans="1:32" x14ac:dyDescent="0.3">
      <c r="B15" t="s">
        <v>81</v>
      </c>
      <c r="C15">
        <v>0.28390702877208801</v>
      </c>
      <c r="D15">
        <v>0.28452013479836802</v>
      </c>
      <c r="E15">
        <v>0.70258723460057404</v>
      </c>
      <c r="F15">
        <v>0.74250900435725897</v>
      </c>
      <c r="G15">
        <v>0.90821940977487403</v>
      </c>
      <c r="H15">
        <v>0.83055295331272605</v>
      </c>
      <c r="I15">
        <v>0.98909935210335398</v>
      </c>
      <c r="J15">
        <v>0.92068973447199898</v>
      </c>
      <c r="K15">
        <v>0.99495618346042003</v>
      </c>
      <c r="L15">
        <v>0.84175801578843901</v>
      </c>
      <c r="M15">
        <v>0.90639495420106897</v>
      </c>
      <c r="N15">
        <v>0.766290213337399</v>
      </c>
      <c r="O15">
        <v>0.99832300469097002</v>
      </c>
      <c r="P15">
        <v>0.89557408803685001</v>
      </c>
      <c r="Q15">
        <v>0.62491019879871301</v>
      </c>
      <c r="R15">
        <v>0.81968317579913397</v>
      </c>
      <c r="S15">
        <v>0.98154386118984505</v>
      </c>
      <c r="T15">
        <v>0.94633832684276298</v>
      </c>
      <c r="U15">
        <v>0.99926568310902797</v>
      </c>
      <c r="V15">
        <v>0.95694857408498402</v>
      </c>
      <c r="W15">
        <v>0.99448192129830504</v>
      </c>
      <c r="X15">
        <v>0.87029256357954998</v>
      </c>
      <c r="AC15">
        <v>0.99989342187499997</v>
      </c>
      <c r="AD15">
        <v>0.82024597656249998</v>
      </c>
      <c r="AE15">
        <v>0.99991872000000004</v>
      </c>
      <c r="AF15">
        <v>0.7501500015625</v>
      </c>
    </row>
    <row r="16" spans="1:32" x14ac:dyDescent="0.3">
      <c r="B16" t="s">
        <v>82</v>
      </c>
      <c r="C16">
        <v>1</v>
      </c>
      <c r="D16">
        <v>0.53125</v>
      </c>
      <c r="E16">
        <v>1</v>
      </c>
      <c r="F16">
        <v>0.96875</v>
      </c>
      <c r="G16">
        <v>1</v>
      </c>
      <c r="H16">
        <v>0.96875</v>
      </c>
      <c r="I16">
        <v>1</v>
      </c>
      <c r="J16">
        <v>0.96875</v>
      </c>
      <c r="K16">
        <v>1</v>
      </c>
      <c r="L16">
        <v>0.96875</v>
      </c>
      <c r="M16">
        <v>1</v>
      </c>
      <c r="N16">
        <v>0.96875</v>
      </c>
      <c r="O16">
        <v>1</v>
      </c>
      <c r="P16">
        <v>0.96875</v>
      </c>
      <c r="Q16">
        <v>1</v>
      </c>
      <c r="R16">
        <v>0.96875</v>
      </c>
      <c r="S16">
        <v>1</v>
      </c>
      <c r="T16">
        <v>0.9921875</v>
      </c>
      <c r="U16">
        <v>1</v>
      </c>
      <c r="V16">
        <v>0.96875</v>
      </c>
      <c r="W16">
        <v>1</v>
      </c>
      <c r="X16">
        <v>0.96875</v>
      </c>
      <c r="AC16">
        <v>1</v>
      </c>
      <c r="AD16">
        <v>0.96875</v>
      </c>
      <c r="AE16">
        <v>1</v>
      </c>
      <c r="AF16">
        <v>0.96875</v>
      </c>
    </row>
    <row r="17" spans="1:37" x14ac:dyDescent="0.3">
      <c r="B17" t="s">
        <v>56</v>
      </c>
      <c r="C17">
        <v>128</v>
      </c>
      <c r="D17">
        <v>128</v>
      </c>
      <c r="E17">
        <v>128</v>
      </c>
      <c r="F17">
        <v>128</v>
      </c>
      <c r="G17">
        <v>128</v>
      </c>
      <c r="H17">
        <v>128</v>
      </c>
      <c r="I17">
        <v>128</v>
      </c>
      <c r="J17">
        <v>128</v>
      </c>
      <c r="K17">
        <v>128</v>
      </c>
      <c r="L17">
        <v>128</v>
      </c>
      <c r="M17">
        <v>128</v>
      </c>
      <c r="N17">
        <v>128</v>
      </c>
      <c r="O17">
        <v>128</v>
      </c>
      <c r="P17">
        <v>128</v>
      </c>
      <c r="Q17">
        <v>128</v>
      </c>
      <c r="R17">
        <v>128</v>
      </c>
      <c r="S17">
        <v>128</v>
      </c>
      <c r="T17">
        <v>128</v>
      </c>
      <c r="U17">
        <v>128</v>
      </c>
      <c r="V17">
        <v>128</v>
      </c>
      <c r="W17">
        <v>128</v>
      </c>
      <c r="X17">
        <v>128</v>
      </c>
      <c r="Y17">
        <v>128</v>
      </c>
      <c r="Z17">
        <v>128</v>
      </c>
      <c r="AA17">
        <v>128</v>
      </c>
      <c r="AB17">
        <v>128</v>
      </c>
      <c r="AC17">
        <v>128</v>
      </c>
      <c r="AD17">
        <v>128</v>
      </c>
      <c r="AE17">
        <v>128</v>
      </c>
      <c r="AF17">
        <v>128</v>
      </c>
    </row>
    <row r="18" spans="1:37" x14ac:dyDescent="0.3">
      <c r="B18" t="s">
        <v>27</v>
      </c>
      <c r="C18">
        <v>68</v>
      </c>
      <c r="D18">
        <v>68</v>
      </c>
      <c r="E18">
        <v>126</v>
      </c>
      <c r="F18">
        <v>126</v>
      </c>
      <c r="G18">
        <v>686</v>
      </c>
      <c r="H18">
        <v>686</v>
      </c>
      <c r="I18">
        <v>361</v>
      </c>
      <c r="J18">
        <v>361</v>
      </c>
      <c r="K18">
        <v>1346</v>
      </c>
      <c r="L18">
        <v>1346</v>
      </c>
      <c r="M18">
        <v>601</v>
      </c>
      <c r="N18">
        <v>601</v>
      </c>
      <c r="O18">
        <v>2294</v>
      </c>
      <c r="P18">
        <v>2294</v>
      </c>
      <c r="Q18">
        <v>2197</v>
      </c>
      <c r="R18">
        <v>2197</v>
      </c>
      <c r="S18">
        <v>2277</v>
      </c>
      <c r="T18">
        <v>2277</v>
      </c>
      <c r="U18">
        <v>197</v>
      </c>
      <c r="V18">
        <v>197</v>
      </c>
      <c r="W18">
        <v>506</v>
      </c>
      <c r="X18">
        <v>506</v>
      </c>
      <c r="AC18">
        <v>625</v>
      </c>
      <c r="AD18">
        <v>625</v>
      </c>
      <c r="AE18">
        <v>625</v>
      </c>
      <c r="AF18">
        <v>625</v>
      </c>
    </row>
    <row r="19" spans="1:37" x14ac:dyDescent="0.3">
      <c r="A19" t="s">
        <v>89</v>
      </c>
      <c r="B19" t="s">
        <v>85</v>
      </c>
      <c r="C19" s="4">
        <v>9999</v>
      </c>
      <c r="D19" s="4">
        <v>9999</v>
      </c>
      <c r="E19" s="4">
        <v>9999</v>
      </c>
      <c r="F19" s="4">
        <v>9999</v>
      </c>
      <c r="G19" s="4">
        <v>9999</v>
      </c>
      <c r="H19" s="4">
        <v>9999</v>
      </c>
      <c r="I19" s="4">
        <v>1138.42053171678</v>
      </c>
      <c r="J19" s="4">
        <v>9999</v>
      </c>
      <c r="K19" s="4">
        <v>270.22770797446498</v>
      </c>
      <c r="L19" s="4">
        <v>8077.1809218634398</v>
      </c>
      <c r="M19" s="4">
        <v>9999</v>
      </c>
      <c r="N19" s="4">
        <v>9999</v>
      </c>
      <c r="O19" s="4">
        <v>756.96850349806198</v>
      </c>
      <c r="P19" s="4">
        <v>5924.4125402056898</v>
      </c>
      <c r="Q19" s="4">
        <v>8990.58200666419</v>
      </c>
      <c r="R19" s="4">
        <v>9964.3417030567598</v>
      </c>
      <c r="S19" s="4">
        <v>9926.7958021477298</v>
      </c>
      <c r="T19" s="4">
        <v>9992.0824372759798</v>
      </c>
      <c r="U19" s="4">
        <v>464.65985079928902</v>
      </c>
      <c r="V19" s="4">
        <v>9999</v>
      </c>
      <c r="W19">
        <v>2.0036722065489001E-3</v>
      </c>
      <c r="X19">
        <v>0.29906025786984503</v>
      </c>
      <c r="AC19" s="4">
        <v>150.106604411408</v>
      </c>
      <c r="AD19" s="4">
        <v>9655.50369198312</v>
      </c>
      <c r="AE19" s="4">
        <v>9999</v>
      </c>
      <c r="AF19" s="4">
        <v>9999</v>
      </c>
    </row>
    <row r="20" spans="1:37" x14ac:dyDescent="0.3">
      <c r="B20" t="s">
        <v>25</v>
      </c>
      <c r="C20">
        <f>IFERROR(C18/C5, 0)</f>
        <v>1</v>
      </c>
      <c r="D20">
        <f t="shared" ref="D20:AF20" si="12">IFERROR(D18/D5, 0)</f>
        <v>1</v>
      </c>
      <c r="E20">
        <f t="shared" si="12"/>
        <v>0.9</v>
      </c>
      <c r="F20">
        <f t="shared" si="12"/>
        <v>0.3925233644859813</v>
      </c>
      <c r="G20">
        <f t="shared" si="12"/>
        <v>0.96892655367231639</v>
      </c>
      <c r="H20">
        <f t="shared" si="12"/>
        <v>0.34541792547834843</v>
      </c>
      <c r="I20">
        <f t="shared" si="12"/>
        <v>2.8606521652997344E-3</v>
      </c>
      <c r="J20">
        <f t="shared" si="12"/>
        <v>8.589103021651201E-2</v>
      </c>
      <c r="K20">
        <f t="shared" si="12"/>
        <v>3.4096666328908704E-2</v>
      </c>
      <c r="L20">
        <f t="shared" si="12"/>
        <v>0.33177224550160217</v>
      </c>
      <c r="M20">
        <f t="shared" si="12"/>
        <v>1</v>
      </c>
      <c r="N20">
        <f t="shared" si="12"/>
        <v>0.88252569750367105</v>
      </c>
      <c r="O20">
        <f t="shared" si="12"/>
        <v>6.3940686233520089E-2</v>
      </c>
      <c r="P20">
        <f t="shared" si="12"/>
        <v>9.1093197792161379E-2</v>
      </c>
      <c r="Q20">
        <f t="shared" si="12"/>
        <v>0.81340244353942981</v>
      </c>
      <c r="R20">
        <f t="shared" si="12"/>
        <v>0.79949053857350805</v>
      </c>
      <c r="S20">
        <f t="shared" si="12"/>
        <v>0.37048486820696386</v>
      </c>
      <c r="T20">
        <f t="shared" si="12"/>
        <v>0.54408602150537633</v>
      </c>
      <c r="U20">
        <f t="shared" si="12"/>
        <v>2.7992895204262879E-3</v>
      </c>
      <c r="V20">
        <f t="shared" si="12"/>
        <v>0.14890400604686319</v>
      </c>
      <c r="W20">
        <f t="shared" si="12"/>
        <v>1.1888818401823266E-2</v>
      </c>
      <c r="X20">
        <f t="shared" si="12"/>
        <v>0.25325325325325326</v>
      </c>
      <c r="Y20">
        <f t="shared" si="12"/>
        <v>0</v>
      </c>
      <c r="Z20">
        <f t="shared" si="12"/>
        <v>0</v>
      </c>
      <c r="AA20">
        <f t="shared" si="12"/>
        <v>0</v>
      </c>
      <c r="AB20">
        <f t="shared" si="12"/>
        <v>0</v>
      </c>
      <c r="AC20">
        <f t="shared" si="12"/>
        <v>8.2692412011965927E-4</v>
      </c>
      <c r="AD20">
        <f t="shared" si="12"/>
        <v>0.32964135021097046</v>
      </c>
      <c r="AE20">
        <f t="shared" si="12"/>
        <v>8.0000000000000004E-4</v>
      </c>
      <c r="AF20">
        <f t="shared" si="12"/>
        <v>0.37741545893719808</v>
      </c>
    </row>
    <row r="21" spans="1:37" x14ac:dyDescent="0.3">
      <c r="B21" t="s">
        <v>18</v>
      </c>
      <c r="C21">
        <v>1086</v>
      </c>
      <c r="D21">
        <v>1086</v>
      </c>
      <c r="E21">
        <v>2003</v>
      </c>
      <c r="F21">
        <v>2003</v>
      </c>
      <c r="G21">
        <v>10974</v>
      </c>
      <c r="H21">
        <v>10974</v>
      </c>
      <c r="I21">
        <v>4562</v>
      </c>
      <c r="J21">
        <v>4562</v>
      </c>
      <c r="K21">
        <v>9278</v>
      </c>
      <c r="L21">
        <v>9278</v>
      </c>
      <c r="M21">
        <v>9604</v>
      </c>
      <c r="N21">
        <v>9604</v>
      </c>
      <c r="O21">
        <v>71</v>
      </c>
      <c r="P21">
        <v>71</v>
      </c>
      <c r="Q21">
        <v>35152</v>
      </c>
      <c r="R21">
        <v>35152</v>
      </c>
      <c r="S21">
        <v>36417</v>
      </c>
      <c r="T21">
        <v>36417</v>
      </c>
      <c r="U21">
        <v>3140</v>
      </c>
      <c r="V21">
        <v>3140</v>
      </c>
      <c r="W21">
        <v>8297</v>
      </c>
      <c r="X21">
        <v>8297</v>
      </c>
      <c r="AC21">
        <v>10000</v>
      </c>
      <c r="AD21">
        <v>10000</v>
      </c>
      <c r="AE21">
        <v>10000</v>
      </c>
      <c r="AF21">
        <v>10000</v>
      </c>
    </row>
    <row r="22" spans="1:37" x14ac:dyDescent="0.3">
      <c r="B22" t="s">
        <v>19</v>
      </c>
      <c r="C22">
        <v>1086</v>
      </c>
      <c r="D22">
        <v>1086</v>
      </c>
      <c r="E22">
        <v>2003</v>
      </c>
      <c r="F22">
        <v>2003</v>
      </c>
      <c r="G22">
        <v>10974</v>
      </c>
      <c r="H22">
        <v>10974</v>
      </c>
      <c r="I22">
        <v>5761</v>
      </c>
      <c r="J22">
        <v>5761</v>
      </c>
      <c r="K22">
        <v>21534</v>
      </c>
      <c r="L22">
        <v>21534</v>
      </c>
      <c r="M22">
        <v>9604</v>
      </c>
      <c r="N22">
        <v>9604</v>
      </c>
      <c r="O22">
        <v>36699</v>
      </c>
      <c r="P22">
        <v>36699</v>
      </c>
      <c r="Q22">
        <v>35152</v>
      </c>
      <c r="R22">
        <v>35152</v>
      </c>
      <c r="S22">
        <v>36417</v>
      </c>
      <c r="T22">
        <v>36417</v>
      </c>
      <c r="U22">
        <v>3140</v>
      </c>
      <c r="V22">
        <v>3140</v>
      </c>
      <c r="W22">
        <v>8297</v>
      </c>
      <c r="X22">
        <v>8297</v>
      </c>
      <c r="AC22">
        <v>10000</v>
      </c>
      <c r="AD22">
        <v>10000</v>
      </c>
      <c r="AE22">
        <v>10000</v>
      </c>
      <c r="AF22">
        <v>10000</v>
      </c>
    </row>
    <row r="23" spans="1:37" x14ac:dyDescent="0.3">
      <c r="B23" t="s">
        <v>20</v>
      </c>
      <c r="C23">
        <v>1.8712968332943301E-2</v>
      </c>
      <c r="D23">
        <v>1.8712968332943301E-2</v>
      </c>
      <c r="E23">
        <v>2.09079790199872E-2</v>
      </c>
      <c r="F23">
        <v>2.09079790199872E-2</v>
      </c>
      <c r="G23">
        <v>3.55936820230424E-3</v>
      </c>
      <c r="H23">
        <v>3.55936820230424E-3</v>
      </c>
      <c r="I23">
        <v>9.3714321632839104E-2</v>
      </c>
      <c r="J23">
        <v>9.3714321632839104E-2</v>
      </c>
      <c r="K23">
        <v>4.8376702439189201E-4</v>
      </c>
      <c r="L23">
        <v>4.8376702439189201E-4</v>
      </c>
      <c r="M23">
        <v>9.2440311469554599E-4</v>
      </c>
      <c r="N23">
        <v>9.2440311469554599E-4</v>
      </c>
      <c r="O23">
        <v>8.1568020619973106E-2</v>
      </c>
      <c r="P23">
        <v>8.1568020619973106E-2</v>
      </c>
      <c r="Q23">
        <v>6.1830283475066002E-4</v>
      </c>
      <c r="R23">
        <v>6.1830283475066002E-4</v>
      </c>
      <c r="S23">
        <v>3.27610610455435E-3</v>
      </c>
      <c r="T23">
        <v>3.27610610455435E-3</v>
      </c>
      <c r="U23">
        <v>5.5089455961702297E-2</v>
      </c>
      <c r="V23">
        <v>5.5089455961702297E-2</v>
      </c>
      <c r="W23">
        <v>1.50622726900785E-3</v>
      </c>
      <c r="X23">
        <v>1.50622726900785E-3</v>
      </c>
      <c r="AC23">
        <v>0.01</v>
      </c>
      <c r="AD23">
        <v>0.01</v>
      </c>
      <c r="AE23">
        <v>1</v>
      </c>
      <c r="AF23">
        <v>1</v>
      </c>
    </row>
    <row r="24" spans="1:37" x14ac:dyDescent="0.3">
      <c r="B24" t="s">
        <v>86</v>
      </c>
      <c r="C24">
        <v>1</v>
      </c>
      <c r="D24">
        <v>16</v>
      </c>
      <c r="E24">
        <v>1</v>
      </c>
      <c r="F24">
        <v>16</v>
      </c>
      <c r="G24">
        <v>1</v>
      </c>
      <c r="H24">
        <v>16</v>
      </c>
      <c r="I24">
        <v>1</v>
      </c>
      <c r="J24">
        <v>16</v>
      </c>
      <c r="K24">
        <v>1</v>
      </c>
      <c r="L24">
        <v>16</v>
      </c>
      <c r="M24">
        <v>1</v>
      </c>
      <c r="N24">
        <v>16</v>
      </c>
      <c r="O24">
        <v>1</v>
      </c>
      <c r="P24">
        <v>16</v>
      </c>
      <c r="Q24">
        <v>1</v>
      </c>
      <c r="R24">
        <v>16</v>
      </c>
      <c r="S24">
        <v>1</v>
      </c>
      <c r="T24">
        <v>16</v>
      </c>
      <c r="U24">
        <v>1</v>
      </c>
      <c r="V24">
        <v>16</v>
      </c>
      <c r="W24">
        <v>1</v>
      </c>
      <c r="X24">
        <v>16</v>
      </c>
      <c r="Y24">
        <v>1</v>
      </c>
      <c r="Z24">
        <v>16</v>
      </c>
      <c r="AA24">
        <v>1</v>
      </c>
      <c r="AB24">
        <v>16</v>
      </c>
      <c r="AC24">
        <v>1</v>
      </c>
      <c r="AD24">
        <v>16</v>
      </c>
      <c r="AE24">
        <v>1</v>
      </c>
      <c r="AF24">
        <v>16</v>
      </c>
    </row>
    <row r="25" spans="1:37" x14ac:dyDescent="0.3">
      <c r="B25" t="s">
        <v>0</v>
      </c>
      <c r="C25">
        <v>4</v>
      </c>
      <c r="D25">
        <v>4</v>
      </c>
      <c r="E25">
        <v>4</v>
      </c>
      <c r="F25">
        <v>4</v>
      </c>
      <c r="G25">
        <v>4</v>
      </c>
      <c r="H25">
        <v>4</v>
      </c>
      <c r="I25">
        <v>4</v>
      </c>
      <c r="J25">
        <v>4</v>
      </c>
      <c r="K25">
        <v>4</v>
      </c>
      <c r="L25">
        <v>4</v>
      </c>
      <c r="M25">
        <v>4</v>
      </c>
      <c r="N25">
        <v>4</v>
      </c>
      <c r="O25">
        <v>4</v>
      </c>
      <c r="P25">
        <v>4</v>
      </c>
      <c r="Q25">
        <v>4</v>
      </c>
      <c r="R25">
        <v>4</v>
      </c>
      <c r="S25">
        <v>4</v>
      </c>
      <c r="T25">
        <v>4</v>
      </c>
      <c r="U25">
        <v>4</v>
      </c>
      <c r="V25">
        <v>4</v>
      </c>
      <c r="W25">
        <v>4</v>
      </c>
      <c r="X25">
        <v>4</v>
      </c>
      <c r="Y25">
        <v>4</v>
      </c>
      <c r="Z25">
        <v>4</v>
      </c>
      <c r="AA25">
        <v>4</v>
      </c>
      <c r="AB25">
        <v>4</v>
      </c>
      <c r="AC25">
        <v>4</v>
      </c>
      <c r="AD25">
        <v>4</v>
      </c>
      <c r="AE25">
        <v>4</v>
      </c>
      <c r="AF25">
        <v>4</v>
      </c>
    </row>
    <row r="32" spans="1:37" x14ac:dyDescent="0.3">
      <c r="B32" t="s">
        <v>71</v>
      </c>
      <c r="C32" t="s">
        <v>59</v>
      </c>
      <c r="D32" t="s">
        <v>60</v>
      </c>
      <c r="E32" t="s">
        <v>61</v>
      </c>
      <c r="F32" t="s">
        <v>62</v>
      </c>
      <c r="G32" t="s">
        <v>63</v>
      </c>
      <c r="H32" t="s">
        <v>64</v>
      </c>
      <c r="I32" t="s">
        <v>65</v>
      </c>
      <c r="J32" t="s">
        <v>66</v>
      </c>
      <c r="K32" t="s">
        <v>68</v>
      </c>
      <c r="L32" t="s">
        <v>69</v>
      </c>
      <c r="M32" t="s">
        <v>92</v>
      </c>
      <c r="W32" t="s">
        <v>71</v>
      </c>
      <c r="X32" t="s">
        <v>59</v>
      </c>
      <c r="Y32" t="s">
        <v>60</v>
      </c>
      <c r="Z32" t="s">
        <v>61</v>
      </c>
      <c r="AA32" t="s">
        <v>62</v>
      </c>
      <c r="AB32" t="s">
        <v>63</v>
      </c>
      <c r="AC32" t="s">
        <v>64</v>
      </c>
      <c r="AD32" t="s">
        <v>65</v>
      </c>
      <c r="AE32" t="s">
        <v>66</v>
      </c>
      <c r="AF32" t="s">
        <v>68</v>
      </c>
      <c r="AG32" t="s">
        <v>69</v>
      </c>
      <c r="AH32" t="s">
        <v>92</v>
      </c>
      <c r="AI32" t="s">
        <v>100</v>
      </c>
      <c r="AJ32" t="s">
        <v>101</v>
      </c>
      <c r="AK32" t="s">
        <v>102</v>
      </c>
    </row>
    <row r="33" spans="2:37" x14ac:dyDescent="0.3">
      <c r="B33" t="s">
        <v>88</v>
      </c>
      <c r="C33">
        <f>IFERROR(C5/D5, 0)</f>
        <v>1</v>
      </c>
      <c r="D33">
        <f>IFERROR(E5/F5, 0)</f>
        <v>0.43613707165109034</v>
      </c>
      <c r="E33">
        <f>IFERROR(G5/H5, 0)</f>
        <v>0.35649546827794559</v>
      </c>
      <c r="F33">
        <f>IFERROR(I5/J5, 0)</f>
        <v>30.024982155603141</v>
      </c>
      <c r="G33">
        <f>IFERROR(K5/L5, 0)</f>
        <v>9.7303426176978061</v>
      </c>
      <c r="H33">
        <f>IFERROR(M5/N5, 0)</f>
        <v>0.88252569750367105</v>
      </c>
      <c r="I33">
        <f>IFERROR(O5/P5, 0)</f>
        <v>1.4246515506492474</v>
      </c>
      <c r="J33">
        <f>IFERROR(Q5/R5, 0)</f>
        <v>0.98289665211062593</v>
      </c>
      <c r="K33">
        <f>IFERROR(S5/T5, 0)</f>
        <v>1.46857825567503</v>
      </c>
      <c r="L33">
        <f>IFERROR(U5/V5, 0)</f>
        <v>53.193499622071052</v>
      </c>
      <c r="M33">
        <f>IFERROR(W5/X5, 0)</f>
        <v>21.301801801801801</v>
      </c>
      <c r="W33" t="s">
        <v>88</v>
      </c>
      <c r="X33">
        <v>1</v>
      </c>
      <c r="Y33">
        <v>0.93</v>
      </c>
      <c r="Z33">
        <v>0.46</v>
      </c>
      <c r="AA33">
        <v>19.95</v>
      </c>
      <c r="AB33">
        <v>4.3099999999999996</v>
      </c>
      <c r="AC33">
        <v>0.89</v>
      </c>
      <c r="AD33">
        <v>1.76</v>
      </c>
      <c r="AE33">
        <v>0.9</v>
      </c>
      <c r="AF33">
        <v>1.03</v>
      </c>
      <c r="AG33">
        <v>31.47</v>
      </c>
      <c r="AH33">
        <v>8.27</v>
      </c>
      <c r="AI33">
        <v>2.27</v>
      </c>
      <c r="AJ33">
        <v>5.77</v>
      </c>
      <c r="AK33">
        <v>3.24</v>
      </c>
    </row>
    <row r="34" spans="2:37" x14ac:dyDescent="0.3">
      <c r="B34" t="s">
        <v>95</v>
      </c>
      <c r="C34">
        <f>IFERROR(D5/C5, 0)</f>
        <v>1</v>
      </c>
      <c r="D34">
        <f>IFERROR(F5/E5, 0)</f>
        <v>2.2928571428571427</v>
      </c>
      <c r="E34">
        <f>IFERROR(H5/G5, 0)</f>
        <v>2.8050847457627119</v>
      </c>
      <c r="F34">
        <f>IFERROR(J5/I5, 0)</f>
        <v>3.3305598478545112E-2</v>
      </c>
      <c r="G34">
        <f>IFERROR(L5/K5, 0)</f>
        <v>0.10277130408349378</v>
      </c>
      <c r="H34">
        <f>IFERROR(N5/M5, 0)</f>
        <v>1.1331114808652247</v>
      </c>
      <c r="I34">
        <f>IFERROR(P5/O5, 0)</f>
        <v>0.70192602502996349</v>
      </c>
      <c r="J34">
        <f>IFERROR(R5/Q5, 0)</f>
        <v>1.017400962606442</v>
      </c>
      <c r="K34">
        <f>IFERROR(T5/S5, 0)</f>
        <v>0.68093068662544742</v>
      </c>
      <c r="L34">
        <f>IFERROR(V5/U5, 0)</f>
        <v>1.8799289520426289E-2</v>
      </c>
      <c r="M34">
        <f>IFERROR(X5/W5, 0)</f>
        <v>4.6944385705223093E-2</v>
      </c>
      <c r="W34" t="s">
        <v>95</v>
      </c>
      <c r="X34">
        <f>IFERROR(1/X33, 0)</f>
        <v>1</v>
      </c>
      <c r="Y34">
        <f t="shared" ref="Y34:AH34" si="13">IFERROR(1/Y33, 0)</f>
        <v>1.075268817204301</v>
      </c>
      <c r="Z34">
        <f t="shared" si="13"/>
        <v>2.1739130434782608</v>
      </c>
      <c r="AA34">
        <f t="shared" si="13"/>
        <v>5.0125313283208024E-2</v>
      </c>
      <c r="AB34">
        <f t="shared" si="13"/>
        <v>0.23201856148491881</v>
      </c>
      <c r="AC34">
        <f t="shared" si="13"/>
        <v>1.1235955056179776</v>
      </c>
      <c r="AD34">
        <f t="shared" si="13"/>
        <v>0.56818181818181823</v>
      </c>
      <c r="AE34">
        <f t="shared" si="13"/>
        <v>1.1111111111111112</v>
      </c>
      <c r="AF34">
        <f t="shared" si="13"/>
        <v>0.970873786407767</v>
      </c>
      <c r="AG34">
        <f t="shared" si="13"/>
        <v>3.1776294884016523E-2</v>
      </c>
      <c r="AH34">
        <f t="shared" si="13"/>
        <v>0.12091898428053205</v>
      </c>
      <c r="AI34">
        <f t="shared" ref="AI34" si="14">IFERROR(1/AI33, 0)</f>
        <v>0.44052863436123346</v>
      </c>
      <c r="AJ34">
        <f t="shared" ref="AJ34" si="15">IFERROR(1/AJ33, 0)</f>
        <v>0.1733102253032929</v>
      </c>
      <c r="AK34">
        <f t="shared" ref="AK34" si="16">IFERROR(1/AK33, 0)</f>
        <v>0.30864197530864196</v>
      </c>
    </row>
    <row r="35" spans="2:37" x14ac:dyDescent="0.3">
      <c r="B35" t="s">
        <v>96</v>
      </c>
      <c r="C35">
        <f>C33-1</f>
        <v>0</v>
      </c>
      <c r="D35">
        <f t="shared" ref="D35:M35" si="17">D33-1</f>
        <v>-0.56386292834890961</v>
      </c>
      <c r="E35">
        <f t="shared" si="17"/>
        <v>-0.64350453172205446</v>
      </c>
      <c r="F35">
        <f t="shared" si="17"/>
        <v>29.024982155603141</v>
      </c>
      <c r="G35">
        <f t="shared" si="17"/>
        <v>8.7303426176978061</v>
      </c>
      <c r="H35">
        <f t="shared" si="17"/>
        <v>-0.11747430249632895</v>
      </c>
      <c r="I35">
        <f t="shared" si="17"/>
        <v>0.42465155064924742</v>
      </c>
      <c r="J35">
        <f t="shared" si="17"/>
        <v>-1.7103347889374065E-2</v>
      </c>
      <c r="K35">
        <f t="shared" si="17"/>
        <v>0.46857825567502998</v>
      </c>
      <c r="L35">
        <f t="shared" si="17"/>
        <v>52.193499622071052</v>
      </c>
      <c r="M35">
        <f t="shared" si="17"/>
        <v>20.301801801801801</v>
      </c>
      <c r="W35" t="s">
        <v>96</v>
      </c>
      <c r="X35">
        <f>X33-1</f>
        <v>0</v>
      </c>
      <c r="Y35">
        <f t="shared" ref="Y35:AK35" si="18">Y33-1</f>
        <v>-6.9999999999999951E-2</v>
      </c>
      <c r="Z35">
        <f t="shared" si="18"/>
        <v>-0.54</v>
      </c>
      <c r="AA35">
        <f t="shared" si="18"/>
        <v>18.95</v>
      </c>
      <c r="AB35">
        <f t="shared" si="18"/>
        <v>3.3099999999999996</v>
      </c>
      <c r="AC35">
        <f t="shared" si="18"/>
        <v>-0.10999999999999999</v>
      </c>
      <c r="AD35">
        <f t="shared" si="18"/>
        <v>0.76</v>
      </c>
      <c r="AE35">
        <f t="shared" si="18"/>
        <v>-9.9999999999999978E-2</v>
      </c>
      <c r="AF35">
        <f t="shared" si="18"/>
        <v>3.0000000000000027E-2</v>
      </c>
      <c r="AG35">
        <f t="shared" si="18"/>
        <v>30.47</v>
      </c>
      <c r="AH35">
        <f t="shared" si="18"/>
        <v>7.27</v>
      </c>
      <c r="AI35">
        <f t="shared" si="18"/>
        <v>1.27</v>
      </c>
      <c r="AJ35">
        <f t="shared" si="18"/>
        <v>4.7699999999999996</v>
      </c>
      <c r="AK35">
        <f t="shared" si="18"/>
        <v>2.2400000000000002</v>
      </c>
    </row>
    <row r="36" spans="2:37" x14ac:dyDescent="0.3">
      <c r="B36" t="s">
        <v>97</v>
      </c>
      <c r="C36">
        <f>1-C34</f>
        <v>0</v>
      </c>
      <c r="D36">
        <f t="shared" ref="D36:M36" si="19">1-D34</f>
        <v>-1.2928571428571427</v>
      </c>
      <c r="E36">
        <f t="shared" si="19"/>
        <v>-1.8050847457627119</v>
      </c>
      <c r="F36">
        <f t="shared" si="19"/>
        <v>0.96669440152145492</v>
      </c>
      <c r="G36">
        <f t="shared" si="19"/>
        <v>0.89722869591650622</v>
      </c>
      <c r="H36">
        <f t="shared" si="19"/>
        <v>-0.13311148086522473</v>
      </c>
      <c r="I36">
        <f t="shared" si="19"/>
        <v>0.29807397497003651</v>
      </c>
      <c r="J36">
        <f t="shared" si="19"/>
        <v>-1.7400962606441972E-2</v>
      </c>
      <c r="K36">
        <f t="shared" si="19"/>
        <v>0.31906931337455258</v>
      </c>
      <c r="L36">
        <f t="shared" si="19"/>
        <v>0.98120071047957369</v>
      </c>
      <c r="M36">
        <f t="shared" si="19"/>
        <v>0.95305561429477692</v>
      </c>
      <c r="W36" t="s">
        <v>97</v>
      </c>
      <c r="X36">
        <f>1-X34</f>
        <v>0</v>
      </c>
      <c r="Y36">
        <f t="shared" ref="Y36:AK36" si="20">1-Y34</f>
        <v>-7.5268817204301008E-2</v>
      </c>
      <c r="Z36">
        <f t="shared" si="20"/>
        <v>-1.1739130434782608</v>
      </c>
      <c r="AA36">
        <f t="shared" si="20"/>
        <v>0.94987468671679198</v>
      </c>
      <c r="AB36">
        <f t="shared" si="20"/>
        <v>0.76798143851508116</v>
      </c>
      <c r="AC36">
        <f t="shared" si="20"/>
        <v>-0.12359550561797761</v>
      </c>
      <c r="AD36">
        <f t="shared" si="20"/>
        <v>0.43181818181818177</v>
      </c>
      <c r="AE36">
        <f t="shared" si="20"/>
        <v>-0.11111111111111116</v>
      </c>
      <c r="AF36">
        <f t="shared" si="20"/>
        <v>2.9126213592232997E-2</v>
      </c>
      <c r="AG36">
        <f t="shared" si="20"/>
        <v>0.96822370511598344</v>
      </c>
      <c r="AH36">
        <f t="shared" si="20"/>
        <v>0.87908101571946795</v>
      </c>
      <c r="AI36">
        <f t="shared" si="20"/>
        <v>0.55947136563876654</v>
      </c>
      <c r="AJ36">
        <f t="shared" si="20"/>
        <v>0.82668977469670712</v>
      </c>
      <c r="AK36">
        <f t="shared" si="20"/>
        <v>0.69135802469135799</v>
      </c>
    </row>
    <row r="37" spans="2:37" x14ac:dyDescent="0.3">
      <c r="B37" t="s">
        <v>98</v>
      </c>
      <c r="C37" s="8">
        <f>IF(C33&gt;=1, C35, C36)</f>
        <v>0</v>
      </c>
      <c r="D37" s="8">
        <f t="shared" ref="D37:M37" si="21">IF(D33&gt;=1, D35, D36)</f>
        <v>-1.2928571428571427</v>
      </c>
      <c r="E37" s="8">
        <f t="shared" si="21"/>
        <v>-1.8050847457627119</v>
      </c>
      <c r="F37" s="8">
        <f t="shared" si="21"/>
        <v>29.024982155603141</v>
      </c>
      <c r="G37" s="8">
        <f t="shared" si="21"/>
        <v>8.7303426176978061</v>
      </c>
      <c r="H37" s="8">
        <f t="shared" si="21"/>
        <v>-0.13311148086522473</v>
      </c>
      <c r="I37" s="8">
        <f t="shared" si="21"/>
        <v>0.42465155064924742</v>
      </c>
      <c r="J37" s="8">
        <f t="shared" si="21"/>
        <v>-1.7400962606441972E-2</v>
      </c>
      <c r="K37" s="8">
        <f t="shared" si="21"/>
        <v>0.46857825567502998</v>
      </c>
      <c r="L37" s="8">
        <f t="shared" si="21"/>
        <v>52.193499622071052</v>
      </c>
      <c r="M37" s="8">
        <f t="shared" si="21"/>
        <v>20.301801801801801</v>
      </c>
      <c r="W37" t="s">
        <v>98</v>
      </c>
      <c r="X37" s="8">
        <f>IF(X33&gt;=1, X35, X36)</f>
        <v>0</v>
      </c>
      <c r="Y37" s="8">
        <f t="shared" ref="Y37:AK37" si="22">IF(Y33&gt;=1, Y35, Y36)</f>
        <v>-7.5268817204301008E-2</v>
      </c>
      <c r="Z37" s="8">
        <f t="shared" si="22"/>
        <v>-1.1739130434782608</v>
      </c>
      <c r="AA37" s="8">
        <f t="shared" si="22"/>
        <v>18.95</v>
      </c>
      <c r="AB37" s="8">
        <f t="shared" si="22"/>
        <v>3.3099999999999996</v>
      </c>
      <c r="AC37" s="8">
        <f t="shared" si="22"/>
        <v>-0.12359550561797761</v>
      </c>
      <c r="AD37" s="8">
        <f t="shared" si="22"/>
        <v>0.76</v>
      </c>
      <c r="AE37" s="8">
        <f t="shared" si="22"/>
        <v>-0.11111111111111116</v>
      </c>
      <c r="AF37" s="8">
        <f t="shared" si="22"/>
        <v>3.0000000000000027E-2</v>
      </c>
      <c r="AG37" s="8">
        <f t="shared" si="22"/>
        <v>30.47</v>
      </c>
      <c r="AH37" s="8">
        <f t="shared" si="22"/>
        <v>7.27</v>
      </c>
      <c r="AI37" s="8">
        <f t="shared" si="22"/>
        <v>1.27</v>
      </c>
      <c r="AJ37" s="8">
        <f t="shared" si="22"/>
        <v>4.7699999999999996</v>
      </c>
      <c r="AK37" s="8">
        <f t="shared" si="22"/>
        <v>2.2400000000000002</v>
      </c>
    </row>
    <row r="38" spans="2:37" x14ac:dyDescent="0.3">
      <c r="B38" t="s">
        <v>99</v>
      </c>
      <c r="C38">
        <v>1.8712968332943301E-2</v>
      </c>
      <c r="D38">
        <v>2.09079790199872E-2</v>
      </c>
      <c r="E38">
        <v>3.55936820230424E-3</v>
      </c>
      <c r="F38">
        <v>9.3714321632839104E-2</v>
      </c>
      <c r="G38">
        <v>4.8376702439189201E-4</v>
      </c>
      <c r="H38">
        <v>9.2440311469554599E-4</v>
      </c>
      <c r="I38">
        <v>8.1568020619973106E-2</v>
      </c>
      <c r="J38">
        <v>6.1830283475066002E-4</v>
      </c>
      <c r="K38">
        <v>3.27610610455435E-3</v>
      </c>
      <c r="L38">
        <v>5.5089455961702297E-2</v>
      </c>
      <c r="M38">
        <v>1.50622726900785E-3</v>
      </c>
      <c r="W38" t="s">
        <v>99</v>
      </c>
      <c r="X38">
        <v>1.8712968332943301E-2</v>
      </c>
      <c r="Y38">
        <v>2.09079790199872E-2</v>
      </c>
      <c r="Z38">
        <v>3.55936820230424E-3</v>
      </c>
      <c r="AA38">
        <v>9.3714321632839104E-2</v>
      </c>
      <c r="AB38">
        <v>4.8376702439189201E-4</v>
      </c>
      <c r="AC38">
        <v>9.2440311469554599E-4</v>
      </c>
      <c r="AD38">
        <v>8.1568020619973106E-2</v>
      </c>
      <c r="AE38">
        <v>6.1830283475066002E-4</v>
      </c>
      <c r="AF38">
        <v>3.27610610455435E-3</v>
      </c>
      <c r="AG38">
        <v>5.5089455961702297E-2</v>
      </c>
      <c r="AH38">
        <v>1.50622726900785E-3</v>
      </c>
      <c r="AI38">
        <v>4.4454965693740002E-4</v>
      </c>
      <c r="AJ38">
        <v>5.3273467559045498E-4</v>
      </c>
      <c r="AK38">
        <v>3.3792232823938402E-4</v>
      </c>
    </row>
  </sheetData>
  <mergeCells count="30">
    <mergeCell ref="W2:X2"/>
    <mergeCell ref="W3:X3"/>
    <mergeCell ref="M2:N2"/>
    <mergeCell ref="C3:D3"/>
    <mergeCell ref="E3:F3"/>
    <mergeCell ref="G3:H3"/>
    <mergeCell ref="I3:J3"/>
    <mergeCell ref="K3:L3"/>
    <mergeCell ref="M3:N3"/>
    <mergeCell ref="C2:D2"/>
    <mergeCell ref="E2:F2"/>
    <mergeCell ref="G2:H2"/>
    <mergeCell ref="I2:J2"/>
    <mergeCell ref="K2:L2"/>
    <mergeCell ref="AC3:AD3"/>
    <mergeCell ref="AE3:AF3"/>
    <mergeCell ref="O2:P2"/>
    <mergeCell ref="Q2:R2"/>
    <mergeCell ref="S2:T2"/>
    <mergeCell ref="U2:V2"/>
    <mergeCell ref="AC2:AD2"/>
    <mergeCell ref="AE2:AF2"/>
    <mergeCell ref="O3:P3"/>
    <mergeCell ref="Q3:R3"/>
    <mergeCell ref="S3:T3"/>
    <mergeCell ref="U3:V3"/>
    <mergeCell ref="Y2:Z2"/>
    <mergeCell ref="AA2:AB2"/>
    <mergeCell ref="Y3:Z3"/>
    <mergeCell ref="AA3:AB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A741D-E008-41A9-A852-AD41D9D31615}">
  <dimension ref="B3:AN27"/>
  <sheetViews>
    <sheetView tabSelected="1" topLeftCell="A20" zoomScale="52" zoomScaleNormal="91" workbookViewId="0">
      <selection activeCell="R60" sqref="R60"/>
    </sheetView>
  </sheetViews>
  <sheetFormatPr defaultRowHeight="14.4" x14ac:dyDescent="0.3"/>
  <cols>
    <col min="2" max="2" width="22.6640625" customWidth="1"/>
    <col min="3" max="3" width="8.88671875" customWidth="1"/>
    <col min="4" max="4" width="11.88671875" customWidth="1"/>
    <col min="5" max="5" width="8.88671875" customWidth="1"/>
    <col min="6" max="6" width="11.88671875" customWidth="1"/>
    <col min="7" max="7" width="8.88671875" customWidth="1"/>
    <col min="8" max="8" width="12.5546875" customWidth="1"/>
    <col min="10" max="10" width="12.88671875" customWidth="1"/>
    <col min="11" max="11" width="8.88671875" customWidth="1"/>
    <col min="12" max="12" width="12.33203125" customWidth="1"/>
    <col min="13" max="14" width="9" bestFit="1" customWidth="1"/>
    <col min="15" max="15" width="11" customWidth="1"/>
    <col min="16" max="16" width="11.77734375" customWidth="1"/>
    <col min="17" max="17" width="12.44140625" customWidth="1"/>
    <col min="18" max="18" width="13.109375" customWidth="1"/>
    <col min="19" max="19" width="12.6640625" customWidth="1"/>
    <col min="20" max="20" width="13.5546875" customWidth="1"/>
    <col min="21" max="21" width="9" bestFit="1" customWidth="1"/>
    <col min="22" max="22" width="12.5546875" customWidth="1"/>
    <col min="23" max="23" width="9" bestFit="1" customWidth="1"/>
    <col min="24" max="32" width="13" customWidth="1"/>
    <col min="33" max="33" width="9" bestFit="1" customWidth="1"/>
    <col min="34" max="34" width="12.5546875" customWidth="1"/>
    <col min="35" max="35" width="10.109375" bestFit="1" customWidth="1"/>
    <col min="36" max="36" width="12.109375" customWidth="1"/>
    <col min="37" max="37" width="13.109375" customWidth="1"/>
    <col min="38" max="38" width="13.21875" customWidth="1"/>
    <col min="39" max="39" width="13.33203125" customWidth="1"/>
    <col min="40" max="40" width="12.88671875" customWidth="1"/>
  </cols>
  <sheetData>
    <row r="3" spans="2:40" x14ac:dyDescent="0.3">
      <c r="B3" t="s">
        <v>72</v>
      </c>
      <c r="C3" s="10" t="s">
        <v>73</v>
      </c>
      <c r="D3" s="10"/>
      <c r="E3" s="10" t="s">
        <v>74</v>
      </c>
      <c r="F3" s="10"/>
      <c r="G3" s="10" t="s">
        <v>73</v>
      </c>
      <c r="H3" s="10"/>
      <c r="I3" s="10" t="s">
        <v>75</v>
      </c>
      <c r="J3" s="10"/>
      <c r="K3" s="10" t="s">
        <v>76</v>
      </c>
      <c r="L3" s="10"/>
      <c r="M3" s="10" t="s">
        <v>77</v>
      </c>
      <c r="N3" s="10"/>
      <c r="O3" s="10" t="s">
        <v>76</v>
      </c>
      <c r="P3" s="10"/>
      <c r="Q3" s="10" t="s">
        <v>78</v>
      </c>
      <c r="R3" s="10"/>
      <c r="S3" s="10" t="s">
        <v>79</v>
      </c>
      <c r="T3" s="10"/>
      <c r="U3" s="10" t="s">
        <v>80</v>
      </c>
      <c r="V3" s="10"/>
      <c r="W3" s="10" t="s">
        <v>91</v>
      </c>
      <c r="X3" s="10"/>
      <c r="Y3" s="10" t="s">
        <v>91</v>
      </c>
      <c r="Z3" s="10"/>
      <c r="AA3" s="10" t="s">
        <v>103</v>
      </c>
      <c r="AB3" s="10"/>
      <c r="AC3" s="10" t="s">
        <v>104</v>
      </c>
      <c r="AD3" s="10"/>
      <c r="AE3" s="10" t="s">
        <v>91</v>
      </c>
      <c r="AF3" s="10"/>
      <c r="AG3" s="10" t="s">
        <v>106</v>
      </c>
      <c r="AH3" s="10"/>
      <c r="AI3" s="10" t="s">
        <v>106</v>
      </c>
      <c r="AJ3" s="10"/>
      <c r="AK3" s="10" t="s">
        <v>106</v>
      </c>
      <c r="AL3" s="10"/>
      <c r="AM3" s="10" t="s">
        <v>106</v>
      </c>
      <c r="AN3" s="10"/>
    </row>
    <row r="4" spans="2:40" x14ac:dyDescent="0.3">
      <c r="B4" t="s">
        <v>71</v>
      </c>
      <c r="C4" s="10" t="s">
        <v>59</v>
      </c>
      <c r="D4" s="10"/>
      <c r="E4" s="10" t="s">
        <v>60</v>
      </c>
      <c r="F4" s="10"/>
      <c r="G4" s="10" t="s">
        <v>61</v>
      </c>
      <c r="H4" s="10"/>
      <c r="I4" s="10" t="s">
        <v>62</v>
      </c>
      <c r="J4" s="10"/>
      <c r="K4" s="10" t="s">
        <v>63</v>
      </c>
      <c r="L4" s="10"/>
      <c r="M4" s="10" t="s">
        <v>64</v>
      </c>
      <c r="N4" s="10"/>
      <c r="O4" s="10" t="s">
        <v>65</v>
      </c>
      <c r="P4" s="10"/>
      <c r="Q4" s="10" t="s">
        <v>66</v>
      </c>
      <c r="R4" s="10"/>
      <c r="S4" s="10" t="s">
        <v>68</v>
      </c>
      <c r="T4" s="10"/>
      <c r="U4" s="10" t="s">
        <v>69</v>
      </c>
      <c r="V4" s="10"/>
      <c r="W4" s="10" t="s">
        <v>92</v>
      </c>
      <c r="X4" s="10"/>
      <c r="Y4" s="10" t="s">
        <v>102</v>
      </c>
      <c r="Z4" s="10"/>
      <c r="AA4" s="10" t="s">
        <v>101</v>
      </c>
      <c r="AB4" s="10"/>
      <c r="AC4" s="10" t="s">
        <v>100</v>
      </c>
      <c r="AD4" s="10"/>
      <c r="AE4" s="10" t="s">
        <v>94</v>
      </c>
      <c r="AF4" s="10"/>
      <c r="AG4" s="10" t="s">
        <v>107</v>
      </c>
      <c r="AH4" s="10"/>
      <c r="AI4" s="10" t="s">
        <v>108</v>
      </c>
      <c r="AJ4" s="10"/>
      <c r="AK4" s="10" t="s">
        <v>109</v>
      </c>
      <c r="AL4" s="10"/>
      <c r="AM4" s="10" t="s">
        <v>110</v>
      </c>
      <c r="AN4" s="10"/>
    </row>
    <row r="5" spans="2:40" x14ac:dyDescent="0.3">
      <c r="B5" t="s">
        <v>70</v>
      </c>
      <c r="C5" t="s">
        <v>1</v>
      </c>
      <c r="D5" t="s">
        <v>58</v>
      </c>
      <c r="E5" t="s">
        <v>1</v>
      </c>
      <c r="F5" t="s">
        <v>58</v>
      </c>
      <c r="G5" t="s">
        <v>1</v>
      </c>
      <c r="H5" t="s">
        <v>58</v>
      </c>
      <c r="I5" t="s">
        <v>1</v>
      </c>
      <c r="J5" t="s">
        <v>58</v>
      </c>
      <c r="K5" t="s">
        <v>1</v>
      </c>
      <c r="L5" t="s">
        <v>58</v>
      </c>
      <c r="M5" t="s">
        <v>1</v>
      </c>
      <c r="N5" t="s">
        <v>58</v>
      </c>
      <c r="O5" t="s">
        <v>1</v>
      </c>
      <c r="P5" t="s">
        <v>58</v>
      </c>
      <c r="Q5" t="s">
        <v>1</v>
      </c>
      <c r="R5" t="s">
        <v>58</v>
      </c>
      <c r="S5" t="s">
        <v>1</v>
      </c>
      <c r="T5" t="s">
        <v>58</v>
      </c>
      <c r="U5" t="s">
        <v>1</v>
      </c>
      <c r="V5" t="s">
        <v>58</v>
      </c>
      <c r="W5" t="s">
        <v>1</v>
      </c>
      <c r="X5" t="s">
        <v>58</v>
      </c>
      <c r="Y5" t="s">
        <v>1</v>
      </c>
      <c r="Z5" t="s">
        <v>58</v>
      </c>
      <c r="AA5" t="s">
        <v>1</v>
      </c>
      <c r="AB5" t="s">
        <v>58</v>
      </c>
      <c r="AC5" t="s">
        <v>1</v>
      </c>
      <c r="AD5" t="s">
        <v>58</v>
      </c>
      <c r="AE5" t="s">
        <v>1</v>
      </c>
      <c r="AF5" t="s">
        <v>58</v>
      </c>
      <c r="AG5" t="s">
        <v>67</v>
      </c>
      <c r="AH5" t="s">
        <v>58</v>
      </c>
      <c r="AI5" t="s">
        <v>67</v>
      </c>
      <c r="AJ5" t="s">
        <v>58</v>
      </c>
      <c r="AK5" t="s">
        <v>67</v>
      </c>
      <c r="AL5" t="s">
        <v>58</v>
      </c>
      <c r="AM5" t="s">
        <v>67</v>
      </c>
      <c r="AN5" t="s">
        <v>58</v>
      </c>
    </row>
    <row r="6" spans="2:40" x14ac:dyDescent="0.3">
      <c r="B6" t="s">
        <v>17</v>
      </c>
      <c r="C6">
        <v>68</v>
      </c>
      <c r="D6">
        <v>68</v>
      </c>
      <c r="E6">
        <v>139</v>
      </c>
      <c r="F6">
        <v>126</v>
      </c>
      <c r="G6">
        <v>686</v>
      </c>
      <c r="H6">
        <v>723</v>
      </c>
      <c r="I6">
        <v>166638</v>
      </c>
      <c r="J6">
        <v>133883</v>
      </c>
      <c r="K6">
        <v>37699</v>
      </c>
      <c r="L6">
        <v>33241</v>
      </c>
      <c r="M6">
        <v>601</v>
      </c>
      <c r="N6">
        <v>601</v>
      </c>
      <c r="O6">
        <v>36901</v>
      </c>
      <c r="P6">
        <v>36667</v>
      </c>
      <c r="Q6">
        <v>2692</v>
      </c>
      <c r="R6">
        <v>2697</v>
      </c>
      <c r="S6">
        <v>6148</v>
      </c>
      <c r="T6">
        <v>6728</v>
      </c>
      <c r="U6">
        <v>85493</v>
      </c>
      <c r="V6">
        <v>74276</v>
      </c>
      <c r="W6">
        <v>42427</v>
      </c>
      <c r="X6">
        <v>43112</v>
      </c>
      <c r="Y6">
        <v>19484</v>
      </c>
      <c r="Z6">
        <v>20039</v>
      </c>
      <c r="AA6">
        <v>38582</v>
      </c>
      <c r="AB6">
        <v>38871</v>
      </c>
      <c r="AC6">
        <v>8035</v>
      </c>
      <c r="AD6">
        <v>8708</v>
      </c>
      <c r="AE6">
        <v>1520529</v>
      </c>
      <c r="AF6">
        <v>1528418</v>
      </c>
      <c r="AG6">
        <v>125</v>
      </c>
      <c r="AH6">
        <v>125</v>
      </c>
      <c r="AI6">
        <v>564000</v>
      </c>
      <c r="AJ6">
        <v>402647</v>
      </c>
      <c r="AK6">
        <v>1000000</v>
      </c>
      <c r="AL6">
        <v>886215</v>
      </c>
      <c r="AM6">
        <v>1565000</v>
      </c>
      <c r="AN6">
        <v>1405472</v>
      </c>
    </row>
    <row r="7" spans="2:40" x14ac:dyDescent="0.3">
      <c r="B7" t="s">
        <v>4</v>
      </c>
      <c r="C7">
        <v>22002</v>
      </c>
      <c r="D7">
        <v>22002</v>
      </c>
      <c r="E7">
        <v>83744</v>
      </c>
      <c r="F7">
        <v>83757</v>
      </c>
      <c r="G7">
        <v>427964</v>
      </c>
      <c r="H7">
        <v>427927</v>
      </c>
      <c r="I7">
        <v>2296332</v>
      </c>
      <c r="J7">
        <v>2329087</v>
      </c>
      <c r="K7">
        <v>58954</v>
      </c>
      <c r="L7">
        <v>63412</v>
      </c>
      <c r="M7">
        <v>84663</v>
      </c>
      <c r="N7">
        <v>84663</v>
      </c>
      <c r="O7">
        <v>175635</v>
      </c>
      <c r="P7">
        <v>175869</v>
      </c>
      <c r="Q7">
        <v>761322</v>
      </c>
      <c r="R7">
        <v>761317</v>
      </c>
      <c r="S7">
        <v>4338617</v>
      </c>
      <c r="T7">
        <v>4338037</v>
      </c>
      <c r="U7">
        <v>457667</v>
      </c>
      <c r="V7">
        <v>468884</v>
      </c>
      <c r="W7">
        <v>61262</v>
      </c>
      <c r="X7">
        <v>60577</v>
      </c>
      <c r="Y7">
        <v>20510</v>
      </c>
      <c r="Z7">
        <v>19955</v>
      </c>
      <c r="AA7">
        <v>13389</v>
      </c>
      <c r="AB7">
        <v>13100</v>
      </c>
      <c r="AC7">
        <v>18432</v>
      </c>
      <c r="AD7">
        <v>17759</v>
      </c>
      <c r="AE7">
        <v>1679911</v>
      </c>
      <c r="AF7">
        <v>1672022</v>
      </c>
      <c r="AG7">
        <v>3999875</v>
      </c>
      <c r="AH7">
        <v>3999875</v>
      </c>
      <c r="AI7">
        <v>8436000</v>
      </c>
      <c r="AJ7">
        <v>8597353</v>
      </c>
      <c r="AK7">
        <v>15000000</v>
      </c>
      <c r="AL7">
        <v>15113785</v>
      </c>
      <c r="AM7">
        <v>23435000</v>
      </c>
      <c r="AN7">
        <v>23594528</v>
      </c>
    </row>
    <row r="8" spans="2:40" x14ac:dyDescent="0.3">
      <c r="B8" t="s">
        <v>5</v>
      </c>
      <c r="C8">
        <f t="shared" ref="C8:AJ8" si="0">C6+C7</f>
        <v>22070</v>
      </c>
      <c r="D8">
        <f t="shared" si="0"/>
        <v>22070</v>
      </c>
      <c r="E8">
        <f t="shared" si="0"/>
        <v>83883</v>
      </c>
      <c r="F8">
        <f t="shared" si="0"/>
        <v>83883</v>
      </c>
      <c r="G8">
        <f t="shared" si="0"/>
        <v>428650</v>
      </c>
      <c r="H8">
        <f t="shared" si="0"/>
        <v>428650</v>
      </c>
      <c r="I8">
        <f t="shared" si="0"/>
        <v>2462970</v>
      </c>
      <c r="J8">
        <f t="shared" si="0"/>
        <v>2462970</v>
      </c>
      <c r="K8">
        <f t="shared" si="0"/>
        <v>96653</v>
      </c>
      <c r="L8">
        <f t="shared" si="0"/>
        <v>96653</v>
      </c>
      <c r="M8">
        <f t="shared" si="0"/>
        <v>85264</v>
      </c>
      <c r="N8">
        <f t="shared" si="0"/>
        <v>85264</v>
      </c>
      <c r="O8">
        <f t="shared" si="0"/>
        <v>212536</v>
      </c>
      <c r="P8">
        <f t="shared" si="0"/>
        <v>212536</v>
      </c>
      <c r="Q8">
        <f t="shared" si="0"/>
        <v>764014</v>
      </c>
      <c r="R8">
        <f t="shared" si="0"/>
        <v>764014</v>
      </c>
      <c r="S8">
        <f t="shared" si="0"/>
        <v>4344765</v>
      </c>
      <c r="T8">
        <f t="shared" si="0"/>
        <v>4344765</v>
      </c>
      <c r="U8">
        <f t="shared" si="0"/>
        <v>543160</v>
      </c>
      <c r="V8">
        <f t="shared" si="0"/>
        <v>543160</v>
      </c>
      <c r="W8">
        <f t="shared" si="0"/>
        <v>103689</v>
      </c>
      <c r="X8">
        <f t="shared" si="0"/>
        <v>103689</v>
      </c>
      <c r="Y8">
        <f t="shared" si="0"/>
        <v>39994</v>
      </c>
      <c r="Z8">
        <f t="shared" si="0"/>
        <v>39994</v>
      </c>
      <c r="AA8">
        <f t="shared" si="0"/>
        <v>51971</v>
      </c>
      <c r="AB8">
        <f t="shared" si="0"/>
        <v>51971</v>
      </c>
      <c r="AC8">
        <f t="shared" si="0"/>
        <v>26467</v>
      </c>
      <c r="AD8">
        <f t="shared" si="0"/>
        <v>26467</v>
      </c>
      <c r="AE8">
        <f t="shared" si="0"/>
        <v>3200440</v>
      </c>
      <c r="AF8">
        <f t="shared" si="0"/>
        <v>3200440</v>
      </c>
      <c r="AG8">
        <f t="shared" si="0"/>
        <v>4000000</v>
      </c>
      <c r="AH8">
        <f t="shared" si="0"/>
        <v>4000000</v>
      </c>
      <c r="AI8">
        <f t="shared" si="0"/>
        <v>9000000</v>
      </c>
      <c r="AJ8">
        <f t="shared" si="0"/>
        <v>9000000</v>
      </c>
      <c r="AK8">
        <f t="shared" ref="AK8:AL8" si="1">AK6+AK7</f>
        <v>16000000</v>
      </c>
      <c r="AL8">
        <f t="shared" si="1"/>
        <v>16000000</v>
      </c>
      <c r="AM8">
        <f t="shared" ref="AM8:AN8" si="2">AM6+AM7</f>
        <v>25000000</v>
      </c>
      <c r="AN8">
        <f t="shared" si="2"/>
        <v>25000000</v>
      </c>
    </row>
    <row r="9" spans="2:40" x14ac:dyDescent="0.3">
      <c r="B9" t="s">
        <v>49</v>
      </c>
      <c r="C9">
        <f t="shared" ref="C9:AJ9" si="3">IFERROR(C7/C8, 0)</f>
        <v>0.99691889442682369</v>
      </c>
      <c r="D9">
        <f t="shared" si="3"/>
        <v>0.99691889442682369</v>
      </c>
      <c r="E9">
        <f t="shared" si="3"/>
        <v>0.99834293003349905</v>
      </c>
      <c r="F9">
        <f t="shared" si="3"/>
        <v>0.99849790780015024</v>
      </c>
      <c r="G9">
        <f t="shared" si="3"/>
        <v>0.99839962673509852</v>
      </c>
      <c r="H9">
        <f t="shared" si="3"/>
        <v>0.99831330922664174</v>
      </c>
      <c r="I9">
        <f t="shared" si="3"/>
        <v>0.93234265947210071</v>
      </c>
      <c r="J9">
        <f t="shared" si="3"/>
        <v>0.94564164403139295</v>
      </c>
      <c r="K9">
        <f t="shared" si="3"/>
        <v>0.60995520056283814</v>
      </c>
      <c r="L9">
        <f t="shared" si="3"/>
        <v>0.65607896288785661</v>
      </c>
      <c r="M9">
        <f t="shared" si="3"/>
        <v>0.99295130418465005</v>
      </c>
      <c r="N9">
        <f t="shared" si="3"/>
        <v>0.99295130418465005</v>
      </c>
      <c r="O9">
        <f t="shared" si="3"/>
        <v>0.82637764896299926</v>
      </c>
      <c r="P9">
        <f t="shared" si="3"/>
        <v>0.82747863891293705</v>
      </c>
      <c r="Q9">
        <f t="shared" si="3"/>
        <v>0.99647650435724999</v>
      </c>
      <c r="R9">
        <f t="shared" si="3"/>
        <v>0.99646995997455545</v>
      </c>
      <c r="S9">
        <f t="shared" si="3"/>
        <v>0.99858496374372374</v>
      </c>
      <c r="T9">
        <f t="shared" si="3"/>
        <v>0.99845146975728261</v>
      </c>
      <c r="U9">
        <f t="shared" si="3"/>
        <v>0.84260070697400402</v>
      </c>
      <c r="V9">
        <f t="shared" si="3"/>
        <v>0.86325208041829293</v>
      </c>
      <c r="W9">
        <f t="shared" si="3"/>
        <v>0.59082448475730309</v>
      </c>
      <c r="X9">
        <f t="shared" si="3"/>
        <v>0.58421819093635774</v>
      </c>
      <c r="Y9">
        <f t="shared" si="3"/>
        <v>0.51282692403860575</v>
      </c>
      <c r="Z9">
        <f t="shared" si="3"/>
        <v>0.49894984247637147</v>
      </c>
      <c r="AA9">
        <f t="shared" ref="AA9:AF9" si="4">IFERROR(AA7/AA8, 0)</f>
        <v>0.25762444440168558</v>
      </c>
      <c r="AB9">
        <f t="shared" si="4"/>
        <v>0.25206365088222277</v>
      </c>
      <c r="AC9">
        <f t="shared" si="4"/>
        <v>0.69641440284127409</v>
      </c>
      <c r="AD9">
        <f t="shared" si="4"/>
        <v>0.67098651150489286</v>
      </c>
      <c r="AE9">
        <f t="shared" si="4"/>
        <v>0.52490001374810968</v>
      </c>
      <c r="AF9">
        <f t="shared" si="4"/>
        <v>0.52243504018197495</v>
      </c>
      <c r="AG9">
        <f t="shared" si="3"/>
        <v>0.99996874999999996</v>
      </c>
      <c r="AH9">
        <f t="shared" si="3"/>
        <v>0.99996874999999996</v>
      </c>
      <c r="AI9">
        <f t="shared" si="3"/>
        <v>0.93733333333333335</v>
      </c>
      <c r="AJ9">
        <f t="shared" si="3"/>
        <v>0.9552614444444445</v>
      </c>
      <c r="AK9">
        <f t="shared" ref="AK9:AL9" si="5">IFERROR(AK7/AK8, 0)</f>
        <v>0.9375</v>
      </c>
      <c r="AL9">
        <f t="shared" si="5"/>
        <v>0.9446115625</v>
      </c>
      <c r="AM9">
        <f t="shared" ref="AM9:AN9" si="6">IFERROR(AM7/AM8, 0)</f>
        <v>0.93740000000000001</v>
      </c>
      <c r="AN9">
        <f t="shared" si="6"/>
        <v>0.94378112000000003</v>
      </c>
    </row>
    <row r="10" spans="2:40" x14ac:dyDescent="0.3">
      <c r="B10" t="s">
        <v>50</v>
      </c>
      <c r="C10">
        <f t="shared" ref="C10:AJ10" si="7">IFERROR(C6/C8, 0)</f>
        <v>3.0811055731762575E-3</v>
      </c>
      <c r="D10">
        <f t="shared" si="7"/>
        <v>3.0811055731762575E-3</v>
      </c>
      <c r="E10">
        <f t="shared" si="7"/>
        <v>1.6570699665009597E-3</v>
      </c>
      <c r="F10">
        <f t="shared" si="7"/>
        <v>1.5020921998497908E-3</v>
      </c>
      <c r="G10">
        <f t="shared" si="7"/>
        <v>1.6003732649014348E-3</v>
      </c>
      <c r="H10">
        <f t="shared" si="7"/>
        <v>1.6866907733582178E-3</v>
      </c>
      <c r="I10">
        <f t="shared" si="7"/>
        <v>6.7657340527899248E-2</v>
      </c>
      <c r="J10">
        <f t="shared" si="7"/>
        <v>5.4358355968607004E-2</v>
      </c>
      <c r="K10">
        <f t="shared" si="7"/>
        <v>0.3900447994371618</v>
      </c>
      <c r="L10">
        <f t="shared" si="7"/>
        <v>0.34392103711214345</v>
      </c>
      <c r="M10">
        <f t="shared" si="7"/>
        <v>7.0486958153499722E-3</v>
      </c>
      <c r="N10">
        <f t="shared" si="7"/>
        <v>7.0486958153499722E-3</v>
      </c>
      <c r="O10">
        <f t="shared" si="7"/>
        <v>0.1736223510370008</v>
      </c>
      <c r="P10">
        <f t="shared" si="7"/>
        <v>0.1725213610870629</v>
      </c>
      <c r="Q10">
        <f t="shared" si="7"/>
        <v>3.5234956427500018E-3</v>
      </c>
      <c r="R10">
        <f t="shared" si="7"/>
        <v>3.53004002544456E-3</v>
      </c>
      <c r="S10">
        <f t="shared" si="7"/>
        <v>1.4150362562762313E-3</v>
      </c>
      <c r="T10">
        <f t="shared" si="7"/>
        <v>1.5485302427173853E-3</v>
      </c>
      <c r="U10">
        <f t="shared" si="7"/>
        <v>0.15739929302599603</v>
      </c>
      <c r="V10">
        <f t="shared" si="7"/>
        <v>0.13674791958170704</v>
      </c>
      <c r="W10">
        <f t="shared" si="7"/>
        <v>0.40917551524269691</v>
      </c>
      <c r="X10">
        <f t="shared" si="7"/>
        <v>0.41578180906364226</v>
      </c>
      <c r="Y10">
        <f t="shared" si="7"/>
        <v>0.4871730759613942</v>
      </c>
      <c r="Z10">
        <f t="shared" si="7"/>
        <v>0.50105015752362858</v>
      </c>
      <c r="AA10">
        <f t="shared" ref="AA10:AF10" si="8">IFERROR(AA6/AA8, 0)</f>
        <v>0.74237555559831447</v>
      </c>
      <c r="AB10">
        <f t="shared" si="8"/>
        <v>0.74793634911777718</v>
      </c>
      <c r="AC10">
        <f t="shared" si="8"/>
        <v>0.30358559715872596</v>
      </c>
      <c r="AD10">
        <f t="shared" si="8"/>
        <v>0.32901348849510709</v>
      </c>
      <c r="AE10">
        <f t="shared" si="8"/>
        <v>0.47509998625189037</v>
      </c>
      <c r="AF10">
        <f t="shared" si="8"/>
        <v>0.47756495981802505</v>
      </c>
      <c r="AG10">
        <f t="shared" si="7"/>
        <v>3.1250000000000001E-5</v>
      </c>
      <c r="AH10">
        <f t="shared" si="7"/>
        <v>3.1250000000000001E-5</v>
      </c>
      <c r="AI10">
        <f t="shared" si="7"/>
        <v>6.2666666666666662E-2</v>
      </c>
      <c r="AJ10">
        <f t="shared" si="7"/>
        <v>4.4738555555555552E-2</v>
      </c>
      <c r="AK10">
        <f t="shared" ref="AK10:AL10" si="9">IFERROR(AK6/AK8, 0)</f>
        <v>6.25E-2</v>
      </c>
      <c r="AL10">
        <f t="shared" si="9"/>
        <v>5.5388437499999998E-2</v>
      </c>
      <c r="AM10">
        <f t="shared" ref="AM10:AN10" si="10">IFERROR(AM6/AM8, 0)</f>
        <v>6.2600000000000003E-2</v>
      </c>
      <c r="AN10">
        <f t="shared" si="10"/>
        <v>5.6218879999999999E-2</v>
      </c>
    </row>
    <row r="11" spans="2:40" x14ac:dyDescent="0.3">
      <c r="B11" t="s">
        <v>56</v>
      </c>
      <c r="C11">
        <v>128</v>
      </c>
      <c r="D11">
        <v>128</v>
      </c>
      <c r="E11">
        <v>128</v>
      </c>
      <c r="F11">
        <v>128</v>
      </c>
      <c r="G11">
        <v>128</v>
      </c>
      <c r="H11">
        <v>128</v>
      </c>
      <c r="I11">
        <v>128</v>
      </c>
      <c r="J11">
        <v>128</v>
      </c>
      <c r="K11">
        <v>128</v>
      </c>
      <c r="L11">
        <v>128</v>
      </c>
      <c r="M11">
        <v>128</v>
      </c>
      <c r="N11">
        <v>128</v>
      </c>
      <c r="O11">
        <v>128</v>
      </c>
      <c r="P11">
        <v>128</v>
      </c>
      <c r="Q11">
        <v>128</v>
      </c>
      <c r="R11">
        <v>128</v>
      </c>
      <c r="S11">
        <v>128</v>
      </c>
      <c r="T11">
        <v>128</v>
      </c>
      <c r="U11">
        <v>128</v>
      </c>
      <c r="V11">
        <v>128</v>
      </c>
      <c r="W11">
        <v>128</v>
      </c>
      <c r="X11">
        <v>128</v>
      </c>
      <c r="Y11">
        <v>128</v>
      </c>
      <c r="Z11">
        <v>128</v>
      </c>
      <c r="AA11">
        <v>128</v>
      </c>
      <c r="AB11">
        <v>128</v>
      </c>
      <c r="AC11">
        <v>128</v>
      </c>
      <c r="AD11">
        <v>128</v>
      </c>
      <c r="AE11">
        <v>128</v>
      </c>
      <c r="AF11">
        <v>128</v>
      </c>
      <c r="AG11">
        <v>128</v>
      </c>
      <c r="AH11">
        <v>128</v>
      </c>
      <c r="AI11">
        <v>128</v>
      </c>
      <c r="AJ11">
        <v>128</v>
      </c>
      <c r="AK11">
        <v>128</v>
      </c>
      <c r="AL11">
        <v>128</v>
      </c>
      <c r="AM11">
        <v>128</v>
      </c>
      <c r="AN11">
        <v>128</v>
      </c>
    </row>
    <row r="12" spans="2:40" x14ac:dyDescent="0.3">
      <c r="B12" t="s">
        <v>27</v>
      </c>
      <c r="C12">
        <v>68</v>
      </c>
      <c r="D12">
        <v>68</v>
      </c>
      <c r="E12">
        <v>126</v>
      </c>
      <c r="F12">
        <v>126</v>
      </c>
      <c r="G12">
        <v>686</v>
      </c>
      <c r="H12">
        <v>686</v>
      </c>
      <c r="I12">
        <v>361</v>
      </c>
      <c r="J12">
        <v>361</v>
      </c>
      <c r="K12">
        <v>1346</v>
      </c>
      <c r="L12">
        <v>1346</v>
      </c>
      <c r="M12">
        <v>601</v>
      </c>
      <c r="N12">
        <v>601</v>
      </c>
      <c r="O12">
        <v>2294</v>
      </c>
      <c r="P12">
        <v>2294</v>
      </c>
      <c r="Q12">
        <v>2197</v>
      </c>
      <c r="R12">
        <v>2197</v>
      </c>
      <c r="S12">
        <v>2277</v>
      </c>
      <c r="T12">
        <v>2277</v>
      </c>
      <c r="U12">
        <v>197</v>
      </c>
      <c r="V12">
        <v>197</v>
      </c>
      <c r="W12">
        <v>506</v>
      </c>
      <c r="X12">
        <v>506</v>
      </c>
      <c r="Y12">
        <v>680</v>
      </c>
      <c r="Z12">
        <v>680</v>
      </c>
      <c r="AA12">
        <v>618</v>
      </c>
      <c r="AB12">
        <v>618</v>
      </c>
      <c r="AC12">
        <v>478</v>
      </c>
      <c r="AD12">
        <v>478</v>
      </c>
      <c r="AE12" t="s">
        <v>105</v>
      </c>
      <c r="AF12" t="s">
        <v>105</v>
      </c>
      <c r="AG12">
        <v>125</v>
      </c>
      <c r="AH12">
        <v>125</v>
      </c>
      <c r="AI12">
        <v>188</v>
      </c>
      <c r="AJ12">
        <v>188</v>
      </c>
      <c r="AK12">
        <v>250</v>
      </c>
      <c r="AL12">
        <v>250</v>
      </c>
      <c r="AM12">
        <v>313</v>
      </c>
      <c r="AN12">
        <v>313</v>
      </c>
    </row>
    <row r="13" spans="2:40" x14ac:dyDescent="0.3">
      <c r="B13" t="s">
        <v>25</v>
      </c>
      <c r="C13">
        <f t="shared" ref="C13:AJ13" si="11">IFERROR(C12/C6, 0)</f>
        <v>1</v>
      </c>
      <c r="D13">
        <f t="shared" si="11"/>
        <v>1</v>
      </c>
      <c r="E13">
        <f t="shared" si="11"/>
        <v>0.90647482014388492</v>
      </c>
      <c r="F13">
        <f t="shared" si="11"/>
        <v>1</v>
      </c>
      <c r="G13">
        <f t="shared" si="11"/>
        <v>1</v>
      </c>
      <c r="H13">
        <f t="shared" si="11"/>
        <v>0.94882434301521434</v>
      </c>
      <c r="I13">
        <f t="shared" si="11"/>
        <v>2.1663726160899674E-3</v>
      </c>
      <c r="J13">
        <f t="shared" si="11"/>
        <v>2.696384156315589E-3</v>
      </c>
      <c r="K13">
        <f t="shared" si="11"/>
        <v>3.5703864824000633E-2</v>
      </c>
      <c r="L13">
        <f t="shared" si="11"/>
        <v>4.0492163292319729E-2</v>
      </c>
      <c r="M13">
        <f t="shared" si="11"/>
        <v>1</v>
      </c>
      <c r="N13">
        <f t="shared" si="11"/>
        <v>1</v>
      </c>
      <c r="O13">
        <f t="shared" si="11"/>
        <v>6.2166336955638057E-2</v>
      </c>
      <c r="P13">
        <f t="shared" si="11"/>
        <v>6.2563067608476283E-2</v>
      </c>
      <c r="Q13">
        <f t="shared" si="11"/>
        <v>0.81612184249628528</v>
      </c>
      <c r="R13">
        <f t="shared" si="11"/>
        <v>0.8146088246199481</v>
      </c>
      <c r="S13">
        <f t="shared" si="11"/>
        <v>0.37036434612882241</v>
      </c>
      <c r="T13">
        <f t="shared" si="11"/>
        <v>0.33843638525564806</v>
      </c>
      <c r="U13">
        <f t="shared" si="11"/>
        <v>2.3042822219362987E-3</v>
      </c>
      <c r="V13">
        <f t="shared" si="11"/>
        <v>2.6522699122192902E-3</v>
      </c>
      <c r="W13">
        <f t="shared" si="11"/>
        <v>1.1926367643246047E-2</v>
      </c>
      <c r="X13">
        <f t="shared" si="11"/>
        <v>1.1736871404713306E-2</v>
      </c>
      <c r="Y13">
        <f t="shared" si="11"/>
        <v>3.4900431122972697E-2</v>
      </c>
      <c r="Z13">
        <f t="shared" si="11"/>
        <v>3.3933829033384898E-2</v>
      </c>
      <c r="AA13">
        <f t="shared" si="11"/>
        <v>1.6017832149707117E-2</v>
      </c>
      <c r="AB13">
        <f t="shared" si="11"/>
        <v>1.5898741992745234E-2</v>
      </c>
      <c r="AC13">
        <f t="shared" si="11"/>
        <v>5.9489732420659615E-2</v>
      </c>
      <c r="AD13">
        <f t="shared" si="11"/>
        <v>5.4892053284336245E-2</v>
      </c>
      <c r="AE13">
        <f t="shared" si="11"/>
        <v>0</v>
      </c>
      <c r="AF13">
        <f t="shared" si="11"/>
        <v>0</v>
      </c>
      <c r="AG13">
        <f t="shared" si="11"/>
        <v>1</v>
      </c>
      <c r="AH13">
        <f t="shared" si="11"/>
        <v>1</v>
      </c>
      <c r="AI13">
        <f t="shared" si="11"/>
        <v>3.3333333333333332E-4</v>
      </c>
      <c r="AJ13">
        <f t="shared" si="11"/>
        <v>4.669102216085057E-4</v>
      </c>
      <c r="AK13">
        <f t="shared" ref="AK13:AL13" si="12">IFERROR(AK12/AK6, 0)</f>
        <v>2.5000000000000001E-4</v>
      </c>
      <c r="AL13">
        <f t="shared" si="12"/>
        <v>2.820985878144694E-4</v>
      </c>
      <c r="AM13">
        <f t="shared" ref="AM13:AN13" si="13">IFERROR(AM12/AM6, 0)</f>
        <v>2.0000000000000001E-4</v>
      </c>
      <c r="AN13">
        <f t="shared" si="13"/>
        <v>2.2270098586097767E-4</v>
      </c>
    </row>
    <row r="14" spans="2:40" x14ac:dyDescent="0.3">
      <c r="B14" t="s">
        <v>18</v>
      </c>
      <c r="C14">
        <v>1086</v>
      </c>
      <c r="D14">
        <v>1086</v>
      </c>
      <c r="E14">
        <v>2003</v>
      </c>
      <c r="F14">
        <v>2003</v>
      </c>
      <c r="G14">
        <v>10974</v>
      </c>
      <c r="H14">
        <v>10974</v>
      </c>
      <c r="I14">
        <v>4562</v>
      </c>
      <c r="J14">
        <v>4562</v>
      </c>
      <c r="K14">
        <v>9278</v>
      </c>
      <c r="L14">
        <v>9278</v>
      </c>
      <c r="M14">
        <v>9604</v>
      </c>
      <c r="N14">
        <v>9604</v>
      </c>
      <c r="O14">
        <v>71</v>
      </c>
      <c r="P14">
        <v>71</v>
      </c>
      <c r="Q14">
        <v>35152</v>
      </c>
      <c r="R14">
        <v>35152</v>
      </c>
      <c r="S14">
        <v>36417</v>
      </c>
      <c r="T14">
        <v>36417</v>
      </c>
      <c r="U14">
        <v>3140</v>
      </c>
      <c r="V14">
        <v>3140</v>
      </c>
      <c r="W14">
        <v>8297</v>
      </c>
      <c r="X14">
        <v>8297</v>
      </c>
      <c r="Y14">
        <v>10879</v>
      </c>
      <c r="Z14">
        <v>10879</v>
      </c>
      <c r="AA14">
        <v>9877</v>
      </c>
      <c r="AB14">
        <v>9877</v>
      </c>
      <c r="AC14">
        <v>7716</v>
      </c>
      <c r="AD14">
        <v>7716</v>
      </c>
      <c r="AE14">
        <v>400727</v>
      </c>
      <c r="AF14">
        <v>400727</v>
      </c>
      <c r="AG14">
        <v>2000</v>
      </c>
      <c r="AH14">
        <v>2000</v>
      </c>
      <c r="AI14">
        <v>3000</v>
      </c>
      <c r="AJ14">
        <v>3000</v>
      </c>
      <c r="AK14">
        <v>4000</v>
      </c>
      <c r="AL14">
        <v>4000</v>
      </c>
      <c r="AM14">
        <v>5000</v>
      </c>
      <c r="AN14">
        <v>5000</v>
      </c>
    </row>
    <row r="15" spans="2:40" x14ac:dyDescent="0.3">
      <c r="B15" t="s">
        <v>19</v>
      </c>
      <c r="C15">
        <v>1086</v>
      </c>
      <c r="D15">
        <v>1086</v>
      </c>
      <c r="E15">
        <v>2003</v>
      </c>
      <c r="F15">
        <v>2003</v>
      </c>
      <c r="G15">
        <v>10974</v>
      </c>
      <c r="H15">
        <v>10974</v>
      </c>
      <c r="I15">
        <v>5761</v>
      </c>
      <c r="J15">
        <v>5761</v>
      </c>
      <c r="K15">
        <v>21534</v>
      </c>
      <c r="L15">
        <v>21534</v>
      </c>
      <c r="M15">
        <v>9604</v>
      </c>
      <c r="N15">
        <v>9604</v>
      </c>
      <c r="O15">
        <v>36699</v>
      </c>
      <c r="P15">
        <v>36699</v>
      </c>
      <c r="Q15">
        <v>35152</v>
      </c>
      <c r="R15">
        <v>35152</v>
      </c>
      <c r="S15">
        <v>36417</v>
      </c>
      <c r="T15">
        <v>36417</v>
      </c>
      <c r="U15">
        <v>3140</v>
      </c>
      <c r="V15">
        <v>3140</v>
      </c>
      <c r="W15">
        <v>8297</v>
      </c>
      <c r="X15">
        <v>8297</v>
      </c>
      <c r="Y15">
        <v>10879</v>
      </c>
      <c r="Z15">
        <v>10879</v>
      </c>
      <c r="AA15">
        <v>9877</v>
      </c>
      <c r="AB15">
        <v>9877</v>
      </c>
      <c r="AC15">
        <v>7716</v>
      </c>
      <c r="AD15">
        <v>7716</v>
      </c>
      <c r="AE15">
        <v>400727</v>
      </c>
      <c r="AF15">
        <v>400727</v>
      </c>
      <c r="AG15">
        <v>2000</v>
      </c>
      <c r="AH15">
        <v>2000</v>
      </c>
      <c r="AI15">
        <v>3000</v>
      </c>
      <c r="AJ15">
        <v>3000</v>
      </c>
      <c r="AK15">
        <v>4000</v>
      </c>
      <c r="AL15">
        <v>4000</v>
      </c>
      <c r="AM15">
        <v>5000</v>
      </c>
      <c r="AN15">
        <v>5000</v>
      </c>
    </row>
    <row r="16" spans="2:40" x14ac:dyDescent="0.3">
      <c r="B16" t="s">
        <v>20</v>
      </c>
      <c r="C16">
        <v>1.8712968332943301E-2</v>
      </c>
      <c r="D16">
        <v>1.8712968332943301E-2</v>
      </c>
      <c r="E16">
        <v>2.09079790199872E-2</v>
      </c>
      <c r="F16">
        <v>2.09079790199872E-2</v>
      </c>
      <c r="G16">
        <v>3.55936820230424E-3</v>
      </c>
      <c r="H16">
        <v>3.55936820230424E-3</v>
      </c>
      <c r="I16">
        <v>9.3714321632839104E-2</v>
      </c>
      <c r="J16">
        <v>9.3714321632839104E-2</v>
      </c>
      <c r="K16">
        <v>4.8376702439189201E-4</v>
      </c>
      <c r="L16">
        <v>4.8376702439189201E-4</v>
      </c>
      <c r="M16">
        <v>9.2440311469554599E-4</v>
      </c>
      <c r="N16">
        <v>9.2440311469554599E-4</v>
      </c>
      <c r="O16">
        <v>8.1568020619973106E-2</v>
      </c>
      <c r="P16">
        <v>8.1568020619973106E-2</v>
      </c>
      <c r="Q16">
        <v>6.1830283475066002E-4</v>
      </c>
      <c r="R16">
        <v>6.1830283475066002E-4</v>
      </c>
      <c r="S16">
        <v>3.27610610455435E-3</v>
      </c>
      <c r="T16">
        <v>3.27610610455435E-3</v>
      </c>
      <c r="U16">
        <v>5.5089455961702297E-2</v>
      </c>
      <c r="V16">
        <v>5.5089455961702297E-2</v>
      </c>
      <c r="W16">
        <v>1.50622726900785E-3</v>
      </c>
      <c r="X16">
        <v>1.50622726900785E-3</v>
      </c>
      <c r="Y16">
        <v>3.3792232823938402E-4</v>
      </c>
      <c r="Z16">
        <v>3.3792232823938402E-4</v>
      </c>
      <c r="AA16">
        <v>5.3273467559045498E-4</v>
      </c>
      <c r="AB16">
        <v>5.3273467559045498E-4</v>
      </c>
      <c r="AC16">
        <v>4.4454965693740002E-4</v>
      </c>
      <c r="AD16">
        <v>4.4454965693740002E-4</v>
      </c>
      <c r="AE16" s="9">
        <v>1.99302377500994E-5</v>
      </c>
      <c r="AF16" s="9">
        <v>1.99302377500994E-5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</row>
    <row r="17" spans="2:40" x14ac:dyDescent="0.3">
      <c r="B17" t="s">
        <v>86</v>
      </c>
      <c r="C17">
        <v>1</v>
      </c>
      <c r="D17">
        <v>16</v>
      </c>
      <c r="E17">
        <v>1</v>
      </c>
      <c r="F17">
        <v>16</v>
      </c>
      <c r="G17">
        <v>1</v>
      </c>
      <c r="H17">
        <v>16</v>
      </c>
      <c r="I17">
        <v>1</v>
      </c>
      <c r="J17">
        <v>16</v>
      </c>
      <c r="K17">
        <v>1</v>
      </c>
      <c r="L17">
        <v>16</v>
      </c>
      <c r="M17">
        <v>1</v>
      </c>
      <c r="N17">
        <v>16</v>
      </c>
      <c r="O17">
        <v>1</v>
      </c>
      <c r="P17">
        <v>16</v>
      </c>
      <c r="Q17">
        <v>1</v>
      </c>
      <c r="R17">
        <v>16</v>
      </c>
      <c r="S17">
        <v>1</v>
      </c>
      <c r="T17">
        <v>16</v>
      </c>
      <c r="U17">
        <v>1</v>
      </c>
      <c r="V17">
        <v>16</v>
      </c>
      <c r="W17">
        <v>1</v>
      </c>
      <c r="X17">
        <v>16</v>
      </c>
      <c r="Y17">
        <v>1</v>
      </c>
      <c r="Z17">
        <v>16</v>
      </c>
      <c r="AA17">
        <v>1</v>
      </c>
      <c r="AB17">
        <v>16</v>
      </c>
      <c r="AC17">
        <v>1</v>
      </c>
      <c r="AD17">
        <v>16</v>
      </c>
      <c r="AE17">
        <v>1</v>
      </c>
      <c r="AF17">
        <v>16</v>
      </c>
      <c r="AG17">
        <v>1</v>
      </c>
      <c r="AH17">
        <v>16</v>
      </c>
      <c r="AI17">
        <v>1</v>
      </c>
      <c r="AJ17">
        <v>16</v>
      </c>
      <c r="AK17">
        <v>1</v>
      </c>
      <c r="AL17">
        <v>16</v>
      </c>
      <c r="AM17">
        <v>1</v>
      </c>
      <c r="AN17">
        <v>16</v>
      </c>
    </row>
    <row r="18" spans="2:40" x14ac:dyDescent="0.3">
      <c r="B18" t="s">
        <v>0</v>
      </c>
      <c r="C18">
        <v>8</v>
      </c>
      <c r="D18">
        <v>8</v>
      </c>
      <c r="E18">
        <v>8</v>
      </c>
      <c r="F18">
        <v>8</v>
      </c>
      <c r="G18">
        <v>8</v>
      </c>
      <c r="H18">
        <v>8</v>
      </c>
      <c r="I18">
        <v>8</v>
      </c>
      <c r="J18">
        <v>8</v>
      </c>
      <c r="K18">
        <v>8</v>
      </c>
      <c r="L18">
        <v>8</v>
      </c>
      <c r="M18">
        <v>8</v>
      </c>
      <c r="N18">
        <v>8</v>
      </c>
      <c r="O18">
        <v>8</v>
      </c>
      <c r="P18">
        <v>8</v>
      </c>
      <c r="Q18">
        <v>8</v>
      </c>
      <c r="R18">
        <v>8</v>
      </c>
      <c r="S18">
        <v>8</v>
      </c>
      <c r="T18">
        <v>8</v>
      </c>
      <c r="U18">
        <v>8</v>
      </c>
      <c r="V18">
        <v>8</v>
      </c>
      <c r="W18">
        <v>8</v>
      </c>
      <c r="X18">
        <v>8</v>
      </c>
      <c r="Y18">
        <v>8</v>
      </c>
      <c r="Z18">
        <v>8</v>
      </c>
      <c r="AA18">
        <v>8</v>
      </c>
      <c r="AB18">
        <v>8</v>
      </c>
      <c r="AC18">
        <v>8</v>
      </c>
      <c r="AD18">
        <v>8</v>
      </c>
      <c r="AE18">
        <v>8</v>
      </c>
      <c r="AF18">
        <v>8</v>
      </c>
      <c r="AG18">
        <v>8</v>
      </c>
      <c r="AH18">
        <v>8</v>
      </c>
      <c r="AI18">
        <v>8</v>
      </c>
      <c r="AJ18">
        <v>8</v>
      </c>
      <c r="AK18">
        <v>8</v>
      </c>
      <c r="AL18">
        <v>8</v>
      </c>
      <c r="AM18">
        <v>8</v>
      </c>
      <c r="AN18">
        <v>8</v>
      </c>
    </row>
    <row r="23" spans="2:40" x14ac:dyDescent="0.3">
      <c r="B23" t="s">
        <v>72</v>
      </c>
      <c r="C23" t="s">
        <v>73</v>
      </c>
      <c r="D23" t="s">
        <v>74</v>
      </c>
      <c r="E23" t="s">
        <v>73</v>
      </c>
      <c r="F23" t="s">
        <v>75</v>
      </c>
      <c r="G23" t="s">
        <v>76</v>
      </c>
      <c r="H23" t="s">
        <v>77</v>
      </c>
      <c r="I23" t="s">
        <v>76</v>
      </c>
      <c r="J23" t="s">
        <v>78</v>
      </c>
      <c r="K23" t="s">
        <v>79</v>
      </c>
      <c r="L23" t="s">
        <v>80</v>
      </c>
      <c r="M23" t="s">
        <v>91</v>
      </c>
      <c r="N23" t="s">
        <v>91</v>
      </c>
      <c r="O23" t="s">
        <v>103</v>
      </c>
      <c r="P23" t="s">
        <v>104</v>
      </c>
      <c r="Q23" t="s">
        <v>91</v>
      </c>
      <c r="R23" t="s">
        <v>106</v>
      </c>
      <c r="S23" t="s">
        <v>106</v>
      </c>
      <c r="T23" t="s">
        <v>106</v>
      </c>
      <c r="U23" t="s">
        <v>106</v>
      </c>
    </row>
    <row r="24" spans="2:40" x14ac:dyDescent="0.3">
      <c r="B24" t="s">
        <v>71</v>
      </c>
      <c r="C24" t="s">
        <v>59</v>
      </c>
      <c r="D24" t="s">
        <v>60</v>
      </c>
      <c r="E24" t="s">
        <v>61</v>
      </c>
      <c r="F24" t="s">
        <v>62</v>
      </c>
      <c r="G24" t="s">
        <v>63</v>
      </c>
      <c r="H24" t="s">
        <v>64</v>
      </c>
      <c r="I24" t="s">
        <v>65</v>
      </c>
      <c r="J24" t="s">
        <v>66</v>
      </c>
      <c r="K24" t="s">
        <v>68</v>
      </c>
      <c r="L24" t="s">
        <v>69</v>
      </c>
      <c r="M24" t="s">
        <v>92</v>
      </c>
      <c r="N24" t="s">
        <v>102</v>
      </c>
      <c r="O24" t="s">
        <v>101</v>
      </c>
      <c r="P24" t="s">
        <v>100</v>
      </c>
      <c r="Q24" t="s">
        <v>94</v>
      </c>
      <c r="R24" t="s">
        <v>107</v>
      </c>
      <c r="S24" t="s">
        <v>108</v>
      </c>
      <c r="T24" t="s">
        <v>109</v>
      </c>
      <c r="U24" t="s">
        <v>110</v>
      </c>
    </row>
    <row r="25" spans="2:40" x14ac:dyDescent="0.3">
      <c r="B25" t="s">
        <v>111</v>
      </c>
      <c r="C25">
        <f>C9*100</f>
        <v>99.691889442682367</v>
      </c>
      <c r="D25">
        <f>E9*100</f>
        <v>99.834293003349899</v>
      </c>
      <c r="E25">
        <f>G9*100</f>
        <v>99.839962673509859</v>
      </c>
      <c r="F25">
        <f>I9*100</f>
        <v>93.234265947210076</v>
      </c>
      <c r="G25">
        <f>K9*100</f>
        <v>60.995520056283816</v>
      </c>
      <c r="H25">
        <f>M9*100</f>
        <v>99.295130418465007</v>
      </c>
      <c r="I25">
        <f>O9*100</f>
        <v>82.637764896299927</v>
      </c>
      <c r="J25">
        <f>Q9*100</f>
        <v>99.647650435724998</v>
      </c>
      <c r="K25">
        <f>S9*100</f>
        <v>99.858496374372379</v>
      </c>
      <c r="L25">
        <f>U9*100</f>
        <v>84.260070697400408</v>
      </c>
      <c r="M25">
        <f>W9*100</f>
        <v>59.08244847573031</v>
      </c>
      <c r="N25">
        <f>Y9*100</f>
        <v>51.282692403860572</v>
      </c>
      <c r="O25">
        <f>AA9*100</f>
        <v>25.762444440168558</v>
      </c>
      <c r="P25">
        <f>AC9*100</f>
        <v>69.641440284127412</v>
      </c>
      <c r="Q25">
        <f>AE9*100</f>
        <v>52.490001374810966</v>
      </c>
      <c r="R25">
        <f>AG9*100</f>
        <v>99.996875000000003</v>
      </c>
      <c r="S25">
        <f>AI9*100</f>
        <v>93.733333333333334</v>
      </c>
      <c r="T25">
        <f>AK9*100</f>
        <v>93.75</v>
      </c>
      <c r="U25">
        <f>AM9*100</f>
        <v>93.74</v>
      </c>
    </row>
    <row r="26" spans="2:40" x14ac:dyDescent="0.3">
      <c r="B26" t="s">
        <v>112</v>
      </c>
      <c r="C26">
        <f>D9*100</f>
        <v>99.691889442682367</v>
      </c>
      <c r="D26">
        <f>F9*100</f>
        <v>99.849790780015027</v>
      </c>
      <c r="E26">
        <f>H9*100</f>
        <v>99.831330922664179</v>
      </c>
      <c r="F26">
        <f>J9*100</f>
        <v>94.564164403139301</v>
      </c>
      <c r="G26">
        <f>L9*100</f>
        <v>65.607896288785668</v>
      </c>
      <c r="H26">
        <f>N9*100</f>
        <v>99.295130418465007</v>
      </c>
      <c r="I26">
        <f>P9*100</f>
        <v>82.747863891293704</v>
      </c>
      <c r="J26">
        <f>R9*100</f>
        <v>99.646995997455548</v>
      </c>
      <c r="K26">
        <f>T9*100</f>
        <v>99.845146975728255</v>
      </c>
      <c r="L26">
        <f>V9*100</f>
        <v>86.325208041829299</v>
      </c>
      <c r="M26">
        <f>X9*100</f>
        <v>58.421819093635776</v>
      </c>
      <c r="N26">
        <f>Z9*100</f>
        <v>49.894984247637147</v>
      </c>
      <c r="O26">
        <f>AB9*100</f>
        <v>25.206365088222277</v>
      </c>
      <c r="P26">
        <f>AD9*100</f>
        <v>67.098651150489289</v>
      </c>
      <c r="Q26">
        <f>AF9*100</f>
        <v>52.243504018197498</v>
      </c>
      <c r="R26">
        <f>AH9*100</f>
        <v>99.996875000000003</v>
      </c>
      <c r="S26">
        <f>AJ9*100</f>
        <v>95.526144444444455</v>
      </c>
      <c r="T26">
        <f>AL9*100</f>
        <v>94.461156250000002</v>
      </c>
      <c r="U26">
        <f>AN9*100</f>
        <v>94.378112000000002</v>
      </c>
    </row>
    <row r="27" spans="2:40" x14ac:dyDescent="0.3">
      <c r="B27" t="s">
        <v>113</v>
      </c>
      <c r="C27">
        <f>IFERROR(((C6-D6)/C6)*100, 0)</f>
        <v>0</v>
      </c>
      <c r="D27">
        <f>IFERROR(((E6-F6)/E6)*100, 0)</f>
        <v>9.3525179856115113</v>
      </c>
      <c r="E27">
        <f>IFERROR(((G6-H6)/G6)*100, 0)</f>
        <v>-5.3935860058309038</v>
      </c>
      <c r="F27">
        <f>IFERROR(((I6-J6)/I6)*100, 0)</f>
        <v>19.656380897514371</v>
      </c>
      <c r="G27">
        <f>IFERROR(((K6-L6)/K6)*100, 0)</f>
        <v>11.82524735404122</v>
      </c>
      <c r="H27">
        <f>IFERROR(((M6-N6)/M6)*100, 0)</f>
        <v>0</v>
      </c>
      <c r="I27">
        <f>IFERROR(((O6-P6)/O6)*100, 0)</f>
        <v>0.63412915639142575</v>
      </c>
      <c r="J27">
        <f>IFERROR(((Q6-R6)/Q6)*100, 0)</f>
        <v>-0.18573551263001484</v>
      </c>
      <c r="K27">
        <f>IFERROR(((S6-T6)/S6)*100, 0)</f>
        <v>-9.433962264150944</v>
      </c>
      <c r="L27">
        <f>IFERROR(((U6-V6)/U6)*100, 0)</f>
        <v>13.120372428152013</v>
      </c>
      <c r="M27">
        <f>IFERROR(((W6-X6)/W6)*100, 0)</f>
        <v>-1.6145379121785657</v>
      </c>
      <c r="N27">
        <f>IFERROR(((Y6-Z6)/Y6)*100, 0)</f>
        <v>-2.8484910695955659</v>
      </c>
      <c r="O27">
        <f>IFERROR(((AA6-AB6)/AA6)*100, 0)</f>
        <v>-0.74905396298792182</v>
      </c>
      <c r="P27">
        <f>IFERROR(((AC6-AD6)/AC6)*100, 0)</f>
        <v>-8.3758556316116994</v>
      </c>
      <c r="Q27">
        <f>IFERROR(((AE6-AF6)/AE6)*100, 0)</f>
        <v>-0.51883259049975372</v>
      </c>
      <c r="R27">
        <f>IFERROR(((AG6-AH6)/AG6)*100, 0)</f>
        <v>0</v>
      </c>
      <c r="S27">
        <f>IFERROR(((AI6-AJ6)/AI6)*100, 0)</f>
        <v>28.60868794326241</v>
      </c>
      <c r="T27">
        <f>IFERROR(((AK6-AL6)/AK6)*100, 0)</f>
        <v>11.378499999999999</v>
      </c>
      <c r="U27">
        <f>IFERROR(((AM6-AN6)/AM6)*100, 0)</f>
        <v>10.193482428115017</v>
      </c>
    </row>
  </sheetData>
  <mergeCells count="38">
    <mergeCell ref="AM3:AN3"/>
    <mergeCell ref="AM4:AN4"/>
    <mergeCell ref="C3:D3"/>
    <mergeCell ref="E3:F3"/>
    <mergeCell ref="AG4:AH4"/>
    <mergeCell ref="G3:H3"/>
    <mergeCell ref="I3:J3"/>
    <mergeCell ref="K3:L3"/>
    <mergeCell ref="M3:N3"/>
    <mergeCell ref="AG3:AH3"/>
    <mergeCell ref="Y3:Z3"/>
    <mergeCell ref="AA3:AB3"/>
    <mergeCell ref="AC3:AD3"/>
    <mergeCell ref="AE3:AF3"/>
    <mergeCell ref="M4:N4"/>
    <mergeCell ref="O4:P4"/>
    <mergeCell ref="O3:P3"/>
    <mergeCell ref="Q3:R3"/>
    <mergeCell ref="S3:T3"/>
    <mergeCell ref="C4:D4"/>
    <mergeCell ref="E4:F4"/>
    <mergeCell ref="G4:H4"/>
    <mergeCell ref="I4:J4"/>
    <mergeCell ref="K4:L4"/>
    <mergeCell ref="AK3:AL3"/>
    <mergeCell ref="AK4:AL4"/>
    <mergeCell ref="AI4:AJ4"/>
    <mergeCell ref="Q4:R4"/>
    <mergeCell ref="S4:T4"/>
    <mergeCell ref="U4:V4"/>
    <mergeCell ref="W4:X4"/>
    <mergeCell ref="Y4:Z4"/>
    <mergeCell ref="AE4:AF4"/>
    <mergeCell ref="AC4:AD4"/>
    <mergeCell ref="AA4:AB4"/>
    <mergeCell ref="AI3:AJ3"/>
    <mergeCell ref="U3:V3"/>
    <mergeCell ref="W3:X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Amruth</dc:creator>
  <cp:lastModifiedBy> </cp:lastModifiedBy>
  <dcterms:created xsi:type="dcterms:W3CDTF">2025-07-28T15:13:44Z</dcterms:created>
  <dcterms:modified xsi:type="dcterms:W3CDTF">2025-08-21T16:18:45Z</dcterms:modified>
</cp:coreProperties>
</file>